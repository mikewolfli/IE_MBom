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胡晓明\方案\私宅电梯\私宅电梯\内联单\"/>
    </mc:Choice>
  </mc:AlternateContent>
  <bookViews>
    <workbookView xWindow="-3226" yWindow="3600" windowWidth="14861" windowHeight="1555" tabRatio="728"/>
  </bookViews>
  <sheets>
    <sheet name="物料汇总表" sheetId="4" r:id="rId1"/>
    <sheet name="物料申请表" sheetId="5" r:id="rId2"/>
    <sheet name="物料导入表" sheetId="6" r:id="rId3"/>
    <sheet name="参考表" sheetId="8" state="hidden" r:id="rId4"/>
    <sheet name="发运层物料名称参考表" sheetId="9" r:id="rId5"/>
    <sheet name="更新记录" sheetId="10" r:id="rId6"/>
    <sheet name="问题搜集" sheetId="11" r:id="rId7"/>
  </sheets>
  <externalReferences>
    <externalReference r:id="rId8"/>
  </externalReferences>
  <definedNames>
    <definedName name="_xlnm._FilterDatabase" localSheetId="3" hidden="1">参考表!$L$1:$X$1068</definedName>
    <definedName name="_xlnm._FilterDatabase" localSheetId="4" hidden="1">发运层物料名称参考表!$G$2:$K$225</definedName>
    <definedName name="_xlnm._FilterDatabase" localSheetId="0" hidden="1">物料汇总表!$B$2:$AB$40</definedName>
    <definedName name="_xlnm._FilterDatabase" localSheetId="1" hidden="1">物料申请表!$A$1:$X$4</definedName>
    <definedName name="_xlnm.Print_Area" localSheetId="0">物料汇总表!$G$1:$AB$40</definedName>
  </definedNames>
  <calcPr calcId="152511"/>
</workbook>
</file>

<file path=xl/calcChain.xml><?xml version="1.0" encoding="utf-8"?>
<calcChain xmlns="http://schemas.openxmlformats.org/spreadsheetml/2006/main">
  <c r="F89" i="9" l="1"/>
  <c r="F88" i="9"/>
  <c r="F43" i="9"/>
  <c r="C11" i="4" l="1"/>
  <c r="W12" i="4" l="1"/>
  <c r="BL38" i="4" l="1"/>
  <c r="BK38" i="4"/>
  <c r="BC38" i="4"/>
  <c r="BB38" i="4"/>
  <c r="BA38" i="4"/>
  <c r="AZ38" i="4"/>
  <c r="AW38" i="4"/>
  <c r="AV38" i="4"/>
  <c r="AU38" i="4"/>
  <c r="AT38" i="4"/>
  <c r="AR38" i="4"/>
  <c r="AQ38" i="4"/>
  <c r="AP38" i="4"/>
  <c r="AO38" i="4"/>
  <c r="AM38" i="4"/>
  <c r="AL38" i="4"/>
  <c r="AJ38" i="4"/>
  <c r="AI38" i="4"/>
  <c r="AH38" i="4"/>
  <c r="AG38" i="4"/>
  <c r="AD38" i="4"/>
  <c r="AA38" i="4"/>
  <c r="W38" i="4"/>
  <c r="BM38" i="4" s="1"/>
  <c r="U38" i="4"/>
  <c r="BO38" i="4" s="1"/>
  <c r="F38" i="4"/>
  <c r="D38" i="4"/>
  <c r="I38" i="4" s="1"/>
  <c r="BE38" i="4" s="1"/>
  <c r="C38" i="4"/>
  <c r="J38" i="4" s="1"/>
  <c r="BF38" i="4" s="1"/>
  <c r="BL37" i="4"/>
  <c r="BK37" i="4"/>
  <c r="BC37" i="4"/>
  <c r="BB37" i="4"/>
  <c r="BA37" i="4"/>
  <c r="AZ37" i="4"/>
  <c r="AW37" i="4"/>
  <c r="AV37" i="4"/>
  <c r="AU37" i="4"/>
  <c r="AT37" i="4"/>
  <c r="AR37" i="4"/>
  <c r="AQ37" i="4"/>
  <c r="AP37" i="4"/>
  <c r="AO37" i="4"/>
  <c r="AM37" i="4"/>
  <c r="AL37" i="4"/>
  <c r="AJ37" i="4"/>
  <c r="AI37" i="4"/>
  <c r="AH37" i="4"/>
  <c r="AG37" i="4"/>
  <c r="AD37" i="4"/>
  <c r="AA37" i="4"/>
  <c r="W37" i="4"/>
  <c r="BM37" i="4" s="1"/>
  <c r="U37" i="4"/>
  <c r="BO37" i="4" s="1"/>
  <c r="I37" i="4"/>
  <c r="BE37" i="4" s="1"/>
  <c r="F37" i="4"/>
  <c r="D37" i="4"/>
  <c r="C37" i="4"/>
  <c r="J37" i="4" s="1"/>
  <c r="BF37" i="4" s="1"/>
  <c r="BL36" i="4"/>
  <c r="BK36" i="4"/>
  <c r="BC36" i="4"/>
  <c r="BB36" i="4"/>
  <c r="BA36" i="4"/>
  <c r="AZ36" i="4"/>
  <c r="AW36" i="4"/>
  <c r="AV36" i="4"/>
  <c r="AU36" i="4"/>
  <c r="AT36" i="4"/>
  <c r="AR36" i="4"/>
  <c r="AQ36" i="4"/>
  <c r="AP36" i="4"/>
  <c r="AO36" i="4"/>
  <c r="AM36" i="4"/>
  <c r="AL36" i="4"/>
  <c r="AJ36" i="4"/>
  <c r="AI36" i="4"/>
  <c r="AH36" i="4"/>
  <c r="AG36" i="4"/>
  <c r="AD36" i="4"/>
  <c r="AA36" i="4"/>
  <c r="W36" i="4"/>
  <c r="BM36" i="4" s="1"/>
  <c r="U36" i="4"/>
  <c r="BO36" i="4" s="1"/>
  <c r="F36" i="4"/>
  <c r="D36" i="4"/>
  <c r="I36" i="4" s="1"/>
  <c r="BE36" i="4" s="1"/>
  <c r="C36" i="4"/>
  <c r="J36" i="4" s="1"/>
  <c r="BF36" i="4" s="1"/>
  <c r="BL35" i="4"/>
  <c r="BK35" i="4"/>
  <c r="BC35" i="4"/>
  <c r="BB35" i="4"/>
  <c r="BA35" i="4"/>
  <c r="AZ35" i="4"/>
  <c r="AW35" i="4"/>
  <c r="AV35" i="4"/>
  <c r="AU35" i="4"/>
  <c r="AT35" i="4"/>
  <c r="AR35" i="4"/>
  <c r="AQ35" i="4"/>
  <c r="AP35" i="4"/>
  <c r="AO35" i="4"/>
  <c r="AM35" i="4"/>
  <c r="AL35" i="4"/>
  <c r="AJ35" i="4"/>
  <c r="AI35" i="4"/>
  <c r="AH35" i="4"/>
  <c r="AG35" i="4"/>
  <c r="AD35" i="4"/>
  <c r="AA35" i="4"/>
  <c r="W35" i="4"/>
  <c r="BM35" i="4" s="1"/>
  <c r="U35" i="4"/>
  <c r="BO35" i="4" s="1"/>
  <c r="F35" i="4"/>
  <c r="D35" i="4"/>
  <c r="I35" i="4" s="1"/>
  <c r="BE35" i="4" s="1"/>
  <c r="C35" i="4"/>
  <c r="J35" i="4" s="1"/>
  <c r="BF35" i="4" s="1"/>
  <c r="BL34" i="4"/>
  <c r="BK34" i="4"/>
  <c r="BC34" i="4"/>
  <c r="BB34" i="4"/>
  <c r="BA34" i="4"/>
  <c r="AZ34" i="4"/>
  <c r="AW34" i="4"/>
  <c r="AV34" i="4"/>
  <c r="AU34" i="4"/>
  <c r="AT34" i="4"/>
  <c r="AR34" i="4"/>
  <c r="AQ34" i="4"/>
  <c r="AP34" i="4"/>
  <c r="AO34" i="4"/>
  <c r="AM34" i="4"/>
  <c r="AL34" i="4"/>
  <c r="AJ34" i="4"/>
  <c r="AI34" i="4"/>
  <c r="AH34" i="4"/>
  <c r="AG34" i="4"/>
  <c r="AD34" i="4"/>
  <c r="AA34" i="4"/>
  <c r="W34" i="4"/>
  <c r="BM34" i="4" s="1"/>
  <c r="U34" i="4"/>
  <c r="BO34" i="4" s="1"/>
  <c r="F34" i="4"/>
  <c r="D34" i="4"/>
  <c r="I34" i="4" s="1"/>
  <c r="BE34" i="4" s="1"/>
  <c r="C34" i="4"/>
  <c r="BL33" i="4"/>
  <c r="BK33" i="4"/>
  <c r="BC33" i="4"/>
  <c r="BB33" i="4"/>
  <c r="BA33" i="4"/>
  <c r="AZ33" i="4"/>
  <c r="AW33" i="4"/>
  <c r="AV33" i="4"/>
  <c r="AU33" i="4"/>
  <c r="AT33" i="4"/>
  <c r="AR33" i="4"/>
  <c r="AQ33" i="4"/>
  <c r="AP33" i="4"/>
  <c r="AO33" i="4"/>
  <c r="AM33" i="4"/>
  <c r="AL33" i="4"/>
  <c r="AJ33" i="4"/>
  <c r="AI33" i="4"/>
  <c r="AH33" i="4"/>
  <c r="AG33" i="4"/>
  <c r="AD33" i="4"/>
  <c r="AA33" i="4"/>
  <c r="W33" i="4"/>
  <c r="BM33" i="4" s="1"/>
  <c r="U33" i="4"/>
  <c r="BO33" i="4" s="1"/>
  <c r="I33" i="4"/>
  <c r="BE33" i="4" s="1"/>
  <c r="F33" i="4"/>
  <c r="D33" i="4"/>
  <c r="C33" i="4"/>
  <c r="BL32" i="4"/>
  <c r="BK32" i="4"/>
  <c r="BC32" i="4"/>
  <c r="BB32" i="4"/>
  <c r="BA32" i="4"/>
  <c r="AZ32" i="4"/>
  <c r="AW32" i="4"/>
  <c r="AV32" i="4"/>
  <c r="AU32" i="4"/>
  <c r="AT32" i="4"/>
  <c r="AR32" i="4"/>
  <c r="AQ32" i="4"/>
  <c r="AP32" i="4"/>
  <c r="AO32" i="4"/>
  <c r="AM32" i="4"/>
  <c r="AL32" i="4"/>
  <c r="AJ32" i="4"/>
  <c r="AI32" i="4"/>
  <c r="AH32" i="4"/>
  <c r="AG32" i="4"/>
  <c r="AD32" i="4"/>
  <c r="AA32" i="4"/>
  <c r="W32" i="4"/>
  <c r="BM32" i="4" s="1"/>
  <c r="U32" i="4"/>
  <c r="BO32" i="4" s="1"/>
  <c r="I32" i="4"/>
  <c r="BE32" i="4" s="1"/>
  <c r="F32" i="4"/>
  <c r="D32" i="4"/>
  <c r="C32" i="4"/>
  <c r="BL31" i="4"/>
  <c r="BK31" i="4"/>
  <c r="BC31" i="4"/>
  <c r="BB31" i="4"/>
  <c r="BA31" i="4"/>
  <c r="AZ31" i="4"/>
  <c r="AW31" i="4"/>
  <c r="AV31" i="4"/>
  <c r="AU31" i="4"/>
  <c r="AT31" i="4"/>
  <c r="AR31" i="4"/>
  <c r="AQ31" i="4"/>
  <c r="AP31" i="4"/>
  <c r="AO31" i="4"/>
  <c r="AM31" i="4"/>
  <c r="AL31" i="4"/>
  <c r="AJ31" i="4"/>
  <c r="AI31" i="4"/>
  <c r="AH31" i="4"/>
  <c r="AG31" i="4"/>
  <c r="AD31" i="4"/>
  <c r="AA31" i="4"/>
  <c r="W31" i="4"/>
  <c r="BM31" i="4" s="1"/>
  <c r="U31" i="4"/>
  <c r="BO31" i="4" s="1"/>
  <c r="F31" i="4"/>
  <c r="D31" i="4"/>
  <c r="I31" i="4" s="1"/>
  <c r="BE31" i="4" s="1"/>
  <c r="C31" i="4"/>
  <c r="BL30" i="4"/>
  <c r="BK30" i="4"/>
  <c r="BC30" i="4"/>
  <c r="BB30" i="4"/>
  <c r="BA30" i="4"/>
  <c r="AZ30" i="4"/>
  <c r="AW30" i="4"/>
  <c r="AV30" i="4"/>
  <c r="AU30" i="4"/>
  <c r="AT30" i="4"/>
  <c r="AR30" i="4"/>
  <c r="AQ30" i="4"/>
  <c r="AP30" i="4"/>
  <c r="AO30" i="4"/>
  <c r="AM30" i="4"/>
  <c r="AL30" i="4"/>
  <c r="AJ30" i="4"/>
  <c r="AI30" i="4"/>
  <c r="AH30" i="4"/>
  <c r="AG30" i="4"/>
  <c r="AD30" i="4"/>
  <c r="AA30" i="4"/>
  <c r="W30" i="4"/>
  <c r="BM30" i="4" s="1"/>
  <c r="U30" i="4"/>
  <c r="BO30" i="4" s="1"/>
  <c r="F30" i="4"/>
  <c r="D30" i="4"/>
  <c r="I30" i="4" s="1"/>
  <c r="BE30" i="4" s="1"/>
  <c r="C30" i="4"/>
  <c r="J30" i="4" s="1"/>
  <c r="BF30" i="4" s="1"/>
  <c r="BL29" i="4"/>
  <c r="BK29" i="4"/>
  <c r="BC29" i="4"/>
  <c r="BB29" i="4"/>
  <c r="BA29" i="4"/>
  <c r="AZ29" i="4"/>
  <c r="AW29" i="4"/>
  <c r="AV29" i="4"/>
  <c r="AU29" i="4"/>
  <c r="AT29" i="4"/>
  <c r="AR29" i="4"/>
  <c r="AQ29" i="4"/>
  <c r="AP29" i="4"/>
  <c r="AO29" i="4"/>
  <c r="AM29" i="4"/>
  <c r="AL29" i="4"/>
  <c r="AJ29" i="4"/>
  <c r="AI29" i="4"/>
  <c r="AH29" i="4"/>
  <c r="AG29" i="4"/>
  <c r="AD29" i="4"/>
  <c r="AA29" i="4"/>
  <c r="W29" i="4"/>
  <c r="BM29" i="4" s="1"/>
  <c r="U29" i="4"/>
  <c r="BO29" i="4" s="1"/>
  <c r="F29" i="4"/>
  <c r="D29" i="4"/>
  <c r="I29" i="4" s="1"/>
  <c r="BE29" i="4" s="1"/>
  <c r="C29" i="4"/>
  <c r="J29" i="4" s="1"/>
  <c r="BF29" i="4" s="1"/>
  <c r="BL28" i="4"/>
  <c r="BK28" i="4"/>
  <c r="BC28" i="4"/>
  <c r="BB28" i="4"/>
  <c r="BA28" i="4"/>
  <c r="AZ28" i="4"/>
  <c r="AW28" i="4"/>
  <c r="AV28" i="4"/>
  <c r="AU28" i="4"/>
  <c r="AT28" i="4"/>
  <c r="AR28" i="4"/>
  <c r="AQ28" i="4"/>
  <c r="AP28" i="4"/>
  <c r="AO28" i="4"/>
  <c r="AM28" i="4"/>
  <c r="AL28" i="4"/>
  <c r="AJ28" i="4"/>
  <c r="AI28" i="4"/>
  <c r="AH28" i="4"/>
  <c r="AG28" i="4"/>
  <c r="AD28" i="4"/>
  <c r="AA28" i="4"/>
  <c r="W28" i="4"/>
  <c r="BM28" i="4" s="1"/>
  <c r="U28" i="4"/>
  <c r="BO28" i="4" s="1"/>
  <c r="F28" i="4"/>
  <c r="D28" i="4"/>
  <c r="I28" i="4" s="1"/>
  <c r="BE28" i="4" s="1"/>
  <c r="C28" i="4"/>
  <c r="J28" i="4" s="1"/>
  <c r="BF28" i="4" s="1"/>
  <c r="BL27" i="4"/>
  <c r="BK27" i="4"/>
  <c r="BC27" i="4"/>
  <c r="BB27" i="4"/>
  <c r="BA27" i="4"/>
  <c r="AZ27" i="4"/>
  <c r="AW27" i="4"/>
  <c r="AV27" i="4"/>
  <c r="AU27" i="4"/>
  <c r="AT27" i="4"/>
  <c r="AR27" i="4"/>
  <c r="AQ27" i="4"/>
  <c r="AP27" i="4"/>
  <c r="AO27" i="4"/>
  <c r="AM27" i="4"/>
  <c r="AL27" i="4"/>
  <c r="AJ27" i="4"/>
  <c r="AI27" i="4"/>
  <c r="AH27" i="4"/>
  <c r="AG27" i="4"/>
  <c r="AD27" i="4"/>
  <c r="AA27" i="4"/>
  <c r="W27" i="4"/>
  <c r="BM27" i="4" s="1"/>
  <c r="U27" i="4"/>
  <c r="BO27" i="4" s="1"/>
  <c r="F27" i="4"/>
  <c r="D27" i="4"/>
  <c r="I27" i="4" s="1"/>
  <c r="BE27" i="4" s="1"/>
  <c r="C27" i="4"/>
  <c r="J27" i="4" s="1"/>
  <c r="BF27" i="4" s="1"/>
  <c r="BL26" i="4"/>
  <c r="BK26" i="4"/>
  <c r="BC26" i="4"/>
  <c r="BB26" i="4"/>
  <c r="BA26" i="4"/>
  <c r="AZ26" i="4"/>
  <c r="AW26" i="4"/>
  <c r="AV26" i="4"/>
  <c r="AU26" i="4"/>
  <c r="AT26" i="4"/>
  <c r="AR26" i="4"/>
  <c r="AQ26" i="4"/>
  <c r="AP26" i="4"/>
  <c r="AO26" i="4"/>
  <c r="AM26" i="4"/>
  <c r="AL26" i="4"/>
  <c r="AJ26" i="4"/>
  <c r="AI26" i="4"/>
  <c r="AH26" i="4"/>
  <c r="AG26" i="4"/>
  <c r="AD26" i="4"/>
  <c r="AA26" i="4"/>
  <c r="W26" i="4"/>
  <c r="BM26" i="4" s="1"/>
  <c r="U26" i="4"/>
  <c r="BO26" i="4" s="1"/>
  <c r="F26" i="4"/>
  <c r="D26" i="4"/>
  <c r="I26" i="4" s="1"/>
  <c r="BE26" i="4" s="1"/>
  <c r="C26" i="4"/>
  <c r="J26" i="4" s="1"/>
  <c r="BF26" i="4" s="1"/>
  <c r="BL25" i="4"/>
  <c r="BK25" i="4"/>
  <c r="BC25" i="4"/>
  <c r="BB25" i="4"/>
  <c r="BA25" i="4"/>
  <c r="AZ25" i="4"/>
  <c r="AW25" i="4"/>
  <c r="AV25" i="4"/>
  <c r="AU25" i="4"/>
  <c r="AT25" i="4"/>
  <c r="AR25" i="4"/>
  <c r="AQ25" i="4"/>
  <c r="AP25" i="4"/>
  <c r="AO25" i="4"/>
  <c r="AM25" i="4"/>
  <c r="AL25" i="4"/>
  <c r="AJ25" i="4"/>
  <c r="AI25" i="4"/>
  <c r="AH25" i="4"/>
  <c r="AG25" i="4"/>
  <c r="AD25" i="4"/>
  <c r="AA25" i="4"/>
  <c r="W25" i="4"/>
  <c r="BM25" i="4" s="1"/>
  <c r="U25" i="4"/>
  <c r="BO25" i="4" s="1"/>
  <c r="I25" i="4"/>
  <c r="BE25" i="4" s="1"/>
  <c r="F25" i="4"/>
  <c r="D25" i="4"/>
  <c r="C25" i="4"/>
  <c r="J25" i="4" s="1"/>
  <c r="BF25" i="4" s="1"/>
  <c r="BL24" i="4"/>
  <c r="BK24" i="4"/>
  <c r="BC24" i="4"/>
  <c r="BB24" i="4"/>
  <c r="BA24" i="4"/>
  <c r="AZ24" i="4"/>
  <c r="AW24" i="4"/>
  <c r="AV24" i="4"/>
  <c r="AU24" i="4"/>
  <c r="AT24" i="4"/>
  <c r="AR24" i="4"/>
  <c r="AQ24" i="4"/>
  <c r="AP24" i="4"/>
  <c r="AO24" i="4"/>
  <c r="AM24" i="4"/>
  <c r="AL24" i="4"/>
  <c r="AJ24" i="4"/>
  <c r="AI24" i="4"/>
  <c r="AH24" i="4"/>
  <c r="AG24" i="4"/>
  <c r="AD24" i="4"/>
  <c r="AA24" i="4"/>
  <c r="W24" i="4"/>
  <c r="BM24" i="4" s="1"/>
  <c r="U24" i="4"/>
  <c r="BO24" i="4" s="1"/>
  <c r="I24" i="4"/>
  <c r="BE24" i="4" s="1"/>
  <c r="F24" i="4"/>
  <c r="D24" i="4"/>
  <c r="C24" i="4"/>
  <c r="J24" i="4" s="1"/>
  <c r="BF24" i="4" s="1"/>
  <c r="BL23" i="4"/>
  <c r="BK23" i="4"/>
  <c r="BC23" i="4"/>
  <c r="BB23" i="4"/>
  <c r="BA23" i="4"/>
  <c r="AZ23" i="4"/>
  <c r="AW23" i="4"/>
  <c r="AV23" i="4"/>
  <c r="AU23" i="4"/>
  <c r="AT23" i="4"/>
  <c r="AR23" i="4"/>
  <c r="AQ23" i="4"/>
  <c r="AP23" i="4"/>
  <c r="AO23" i="4"/>
  <c r="AM23" i="4"/>
  <c r="AL23" i="4"/>
  <c r="AJ23" i="4"/>
  <c r="AI23" i="4"/>
  <c r="AH23" i="4"/>
  <c r="AG23" i="4"/>
  <c r="AD23" i="4"/>
  <c r="AA23" i="4"/>
  <c r="W23" i="4"/>
  <c r="BM23" i="4" s="1"/>
  <c r="U23" i="4"/>
  <c r="BO23" i="4" s="1"/>
  <c r="F23" i="4"/>
  <c r="D23" i="4"/>
  <c r="I23" i="4" s="1"/>
  <c r="BE23" i="4" s="1"/>
  <c r="C23" i="4"/>
  <c r="BL22" i="4"/>
  <c r="BK22" i="4"/>
  <c r="BC22" i="4"/>
  <c r="BB22" i="4"/>
  <c r="BA22" i="4"/>
  <c r="AZ22" i="4"/>
  <c r="AW22" i="4"/>
  <c r="AV22" i="4"/>
  <c r="AU22" i="4"/>
  <c r="AT22" i="4"/>
  <c r="AR22" i="4"/>
  <c r="AQ22" i="4"/>
  <c r="AP22" i="4"/>
  <c r="AO22" i="4"/>
  <c r="AM22" i="4"/>
  <c r="AL22" i="4"/>
  <c r="AJ22" i="4"/>
  <c r="AI22" i="4"/>
  <c r="AH22" i="4"/>
  <c r="AG22" i="4"/>
  <c r="AD22" i="4"/>
  <c r="AA22" i="4"/>
  <c r="W22" i="4"/>
  <c r="BM22" i="4" s="1"/>
  <c r="U22" i="4"/>
  <c r="BO22" i="4" s="1"/>
  <c r="F22" i="4"/>
  <c r="D22" i="4"/>
  <c r="I22" i="4" s="1"/>
  <c r="BE22" i="4" s="1"/>
  <c r="C22" i="4"/>
  <c r="J22" i="4" s="1"/>
  <c r="BF22" i="4" s="1"/>
  <c r="BL21" i="4"/>
  <c r="BK21" i="4"/>
  <c r="BC21" i="4"/>
  <c r="BB21" i="4"/>
  <c r="BA21" i="4"/>
  <c r="AZ21" i="4"/>
  <c r="AW21" i="4"/>
  <c r="AV21" i="4"/>
  <c r="AU21" i="4"/>
  <c r="AT21" i="4"/>
  <c r="AR21" i="4"/>
  <c r="AQ21" i="4"/>
  <c r="AP21" i="4"/>
  <c r="AO21" i="4"/>
  <c r="AM21" i="4"/>
  <c r="AL21" i="4"/>
  <c r="AJ21" i="4"/>
  <c r="AI21" i="4"/>
  <c r="AH21" i="4"/>
  <c r="AG21" i="4"/>
  <c r="AD21" i="4"/>
  <c r="AA21" i="4"/>
  <c r="W21" i="4"/>
  <c r="BM21" i="4" s="1"/>
  <c r="U21" i="4"/>
  <c r="BO21" i="4" s="1"/>
  <c r="F21" i="4"/>
  <c r="D21" i="4"/>
  <c r="I21" i="4" s="1"/>
  <c r="BE21" i="4" s="1"/>
  <c r="C21" i="4"/>
  <c r="J21" i="4" s="1"/>
  <c r="BF21" i="4" s="1"/>
  <c r="BL20" i="4"/>
  <c r="BK20" i="4"/>
  <c r="BC20" i="4"/>
  <c r="BB20" i="4"/>
  <c r="BA20" i="4"/>
  <c r="AZ20" i="4"/>
  <c r="AW20" i="4"/>
  <c r="AV20" i="4"/>
  <c r="AU20" i="4"/>
  <c r="AT20" i="4"/>
  <c r="AR20" i="4"/>
  <c r="AQ20" i="4"/>
  <c r="AP20" i="4"/>
  <c r="AO20" i="4"/>
  <c r="AM20" i="4"/>
  <c r="AL20" i="4"/>
  <c r="AJ20" i="4"/>
  <c r="AI20" i="4"/>
  <c r="AH20" i="4"/>
  <c r="AG20" i="4"/>
  <c r="AD20" i="4"/>
  <c r="AA20" i="4"/>
  <c r="W20" i="4"/>
  <c r="BM20" i="4" s="1"/>
  <c r="U20" i="4"/>
  <c r="BO20" i="4" s="1"/>
  <c r="F20" i="4"/>
  <c r="D20" i="4"/>
  <c r="I20" i="4" s="1"/>
  <c r="BE20" i="4" s="1"/>
  <c r="C20" i="4"/>
  <c r="J20" i="4" s="1"/>
  <c r="BF20" i="4" s="1"/>
  <c r="BL19" i="4"/>
  <c r="BK19" i="4"/>
  <c r="BC19" i="4"/>
  <c r="BB19" i="4"/>
  <c r="BA19" i="4"/>
  <c r="AZ19" i="4"/>
  <c r="AW19" i="4"/>
  <c r="AV19" i="4"/>
  <c r="AU19" i="4"/>
  <c r="AT19" i="4"/>
  <c r="AR19" i="4"/>
  <c r="AQ19" i="4"/>
  <c r="AP19" i="4"/>
  <c r="AO19" i="4"/>
  <c r="AM19" i="4"/>
  <c r="AL19" i="4"/>
  <c r="AJ19" i="4"/>
  <c r="AI19" i="4"/>
  <c r="AH19" i="4"/>
  <c r="AG19" i="4"/>
  <c r="AD19" i="4"/>
  <c r="AA19" i="4"/>
  <c r="W19" i="4"/>
  <c r="BM19" i="4" s="1"/>
  <c r="U19" i="4"/>
  <c r="BO19" i="4" s="1"/>
  <c r="F19" i="4"/>
  <c r="D19" i="4"/>
  <c r="I19" i="4" s="1"/>
  <c r="BE19" i="4" s="1"/>
  <c r="C19" i="4"/>
  <c r="J19" i="4" s="1"/>
  <c r="BF19" i="4" s="1"/>
  <c r="BL18" i="4"/>
  <c r="BK18" i="4"/>
  <c r="BC18" i="4"/>
  <c r="BB18" i="4"/>
  <c r="BA18" i="4"/>
  <c r="AZ18" i="4"/>
  <c r="AW18" i="4"/>
  <c r="AV18" i="4"/>
  <c r="AU18" i="4"/>
  <c r="AT18" i="4"/>
  <c r="AR18" i="4"/>
  <c r="AQ18" i="4"/>
  <c r="AP18" i="4"/>
  <c r="AO18" i="4"/>
  <c r="AM18" i="4"/>
  <c r="AL18" i="4"/>
  <c r="AJ18" i="4"/>
  <c r="AI18" i="4"/>
  <c r="AH18" i="4"/>
  <c r="AG18" i="4"/>
  <c r="AD18" i="4"/>
  <c r="AA18" i="4"/>
  <c r="W18" i="4"/>
  <c r="BM18" i="4" s="1"/>
  <c r="U18" i="4"/>
  <c r="BO18" i="4" s="1"/>
  <c r="F18" i="4"/>
  <c r="D18" i="4"/>
  <c r="I18" i="4" s="1"/>
  <c r="BE18" i="4" s="1"/>
  <c r="C18" i="4"/>
  <c r="J18" i="4" s="1"/>
  <c r="BF18" i="4" s="1"/>
  <c r="BL17" i="4"/>
  <c r="BK17" i="4"/>
  <c r="BC17" i="4"/>
  <c r="BB17" i="4"/>
  <c r="BA17" i="4"/>
  <c r="AZ17" i="4"/>
  <c r="AW17" i="4"/>
  <c r="AV17" i="4"/>
  <c r="AU17" i="4"/>
  <c r="AT17" i="4"/>
  <c r="AR17" i="4"/>
  <c r="AQ17" i="4"/>
  <c r="AP17" i="4"/>
  <c r="AO17" i="4"/>
  <c r="AM17" i="4"/>
  <c r="AL17" i="4"/>
  <c r="AJ17" i="4"/>
  <c r="AI17" i="4"/>
  <c r="AH17" i="4"/>
  <c r="AG17" i="4"/>
  <c r="AD17" i="4"/>
  <c r="AA17" i="4"/>
  <c r="W17" i="4"/>
  <c r="BM17" i="4" s="1"/>
  <c r="U17" i="4"/>
  <c r="BO17" i="4" s="1"/>
  <c r="I17" i="4"/>
  <c r="BE17" i="4" s="1"/>
  <c r="F17" i="4"/>
  <c r="D17" i="4"/>
  <c r="J17" i="4"/>
  <c r="BF17" i="4" s="1"/>
  <c r="BL16" i="4"/>
  <c r="BK16" i="4"/>
  <c r="BC16" i="4"/>
  <c r="BB16" i="4"/>
  <c r="BA16" i="4"/>
  <c r="AZ16" i="4"/>
  <c r="AW16" i="4"/>
  <c r="AV16" i="4"/>
  <c r="AU16" i="4"/>
  <c r="AT16" i="4"/>
  <c r="AR16" i="4"/>
  <c r="AQ16" i="4"/>
  <c r="AP16" i="4"/>
  <c r="AO16" i="4"/>
  <c r="AM16" i="4"/>
  <c r="AL16" i="4"/>
  <c r="AJ16" i="4"/>
  <c r="AI16" i="4"/>
  <c r="AH16" i="4"/>
  <c r="AG16" i="4"/>
  <c r="AD16" i="4"/>
  <c r="AA16" i="4"/>
  <c r="W16" i="4"/>
  <c r="BM16" i="4" s="1"/>
  <c r="U16" i="4"/>
  <c r="BO16" i="4" s="1"/>
  <c r="I16" i="4"/>
  <c r="BE16" i="4" s="1"/>
  <c r="F16" i="4"/>
  <c r="D16" i="4"/>
  <c r="C16" i="4"/>
  <c r="J16" i="4" s="1"/>
  <c r="BF16" i="4" s="1"/>
  <c r="BL15" i="4"/>
  <c r="BK15" i="4"/>
  <c r="BC15" i="4"/>
  <c r="BB15" i="4"/>
  <c r="BA15" i="4"/>
  <c r="AZ15" i="4"/>
  <c r="AW15" i="4"/>
  <c r="AV15" i="4"/>
  <c r="AU15" i="4"/>
  <c r="AT15" i="4"/>
  <c r="AR15" i="4"/>
  <c r="AQ15" i="4"/>
  <c r="AP15" i="4"/>
  <c r="AO15" i="4"/>
  <c r="AM15" i="4"/>
  <c r="AL15" i="4"/>
  <c r="AJ15" i="4"/>
  <c r="AI15" i="4"/>
  <c r="AH15" i="4"/>
  <c r="AG15" i="4"/>
  <c r="AD15" i="4"/>
  <c r="AA15" i="4"/>
  <c r="W15" i="4"/>
  <c r="BM15" i="4" s="1"/>
  <c r="U15" i="4"/>
  <c r="BO15" i="4" s="1"/>
  <c r="F15" i="4"/>
  <c r="D15" i="4"/>
  <c r="I15" i="4" s="1"/>
  <c r="BE15" i="4" s="1"/>
  <c r="C15" i="4"/>
  <c r="BL14" i="4"/>
  <c r="BK14" i="4"/>
  <c r="BC14" i="4"/>
  <c r="BB14" i="4"/>
  <c r="BA14" i="4"/>
  <c r="AZ14" i="4"/>
  <c r="AW14" i="4"/>
  <c r="AV14" i="4"/>
  <c r="AU14" i="4"/>
  <c r="AT14" i="4"/>
  <c r="AR14" i="4"/>
  <c r="AQ14" i="4"/>
  <c r="AP14" i="4"/>
  <c r="AO14" i="4"/>
  <c r="AM14" i="4"/>
  <c r="AL14" i="4"/>
  <c r="AJ14" i="4"/>
  <c r="AI14" i="4"/>
  <c r="AH14" i="4"/>
  <c r="AG14" i="4"/>
  <c r="AD14" i="4"/>
  <c r="AA14" i="4"/>
  <c r="W14" i="4"/>
  <c r="BM14" i="4" s="1"/>
  <c r="U14" i="4"/>
  <c r="BO14" i="4" s="1"/>
  <c r="F14" i="4"/>
  <c r="D14" i="4"/>
  <c r="I14" i="4" s="1"/>
  <c r="BE14" i="4" s="1"/>
  <c r="C14" i="4"/>
  <c r="BL13" i="4"/>
  <c r="BK13" i="4"/>
  <c r="BC13" i="4"/>
  <c r="BB13" i="4"/>
  <c r="BA13" i="4"/>
  <c r="AZ13" i="4"/>
  <c r="AW13" i="4"/>
  <c r="AV13" i="4"/>
  <c r="AU13" i="4"/>
  <c r="AT13" i="4"/>
  <c r="AR13" i="4"/>
  <c r="AQ13" i="4"/>
  <c r="AP13" i="4"/>
  <c r="AO13" i="4"/>
  <c r="AM13" i="4"/>
  <c r="AL13" i="4"/>
  <c r="AJ13" i="4"/>
  <c r="AI13" i="4"/>
  <c r="AH13" i="4"/>
  <c r="AG13" i="4"/>
  <c r="AD13" i="4"/>
  <c r="AA13" i="4"/>
  <c r="W13" i="4"/>
  <c r="BM13" i="4" s="1"/>
  <c r="U13" i="4"/>
  <c r="BO13" i="4" s="1"/>
  <c r="F13" i="4"/>
  <c r="D13" i="4"/>
  <c r="I13" i="4" s="1"/>
  <c r="BE13" i="4" s="1"/>
  <c r="C13" i="4"/>
  <c r="J13" i="4" s="1"/>
  <c r="BF13" i="4" s="1"/>
  <c r="U12" i="4"/>
  <c r="W11" i="4"/>
  <c r="U11" i="4"/>
  <c r="J14" i="4" l="1"/>
  <c r="BF14" i="4" s="1"/>
  <c r="J15" i="4"/>
  <c r="BF15" i="4" s="1"/>
  <c r="J23" i="4"/>
  <c r="BF23" i="4" s="1"/>
  <c r="J31" i="4"/>
  <c r="BF31" i="4" s="1"/>
  <c r="J32" i="4"/>
  <c r="BF32" i="4" s="1"/>
  <c r="J33" i="4"/>
  <c r="BF33" i="4" s="1"/>
  <c r="J34" i="4"/>
  <c r="BF34" i="4" s="1"/>
  <c r="F12" i="4"/>
  <c r="C12" i="4"/>
  <c r="F11" i="4"/>
  <c r="BL12" i="4" l="1"/>
  <c r="BL39" i="4"/>
  <c r="BF39" i="4"/>
  <c r="BL11" i="4"/>
  <c r="BM11" i="4" l="1"/>
  <c r="BK12" i="4"/>
  <c r="BC12" i="4"/>
  <c r="BB12" i="4"/>
  <c r="BA12" i="4"/>
  <c r="AZ12" i="4"/>
  <c r="AW12" i="4"/>
  <c r="AV12" i="4"/>
  <c r="AQ12" i="4"/>
  <c r="AO12" i="4"/>
  <c r="AL12" i="4"/>
  <c r="AJ12" i="4"/>
  <c r="AI12" i="4"/>
  <c r="AH12" i="4"/>
  <c r="AG12" i="4"/>
  <c r="AA12" i="4"/>
  <c r="AP12" i="4" s="1"/>
  <c r="D12" i="4"/>
  <c r="I12" i="4" s="1"/>
  <c r="AM12" i="4" s="1"/>
  <c r="BA39" i="4"/>
  <c r="BA11" i="4"/>
  <c r="AZ11" i="4"/>
  <c r="AZ39" i="4"/>
  <c r="BO39" i="4"/>
  <c r="BM39" i="4"/>
  <c r="BB39" i="4"/>
  <c r="BC39" i="4"/>
  <c r="BE39" i="4"/>
  <c r="BK39" i="4"/>
  <c r="BK11" i="4"/>
  <c r="BC11" i="4"/>
  <c r="BB11" i="4"/>
  <c r="AT12" i="4" l="1"/>
  <c r="BO12" i="4"/>
  <c r="AR12" i="4"/>
  <c r="J12" i="4"/>
  <c r="BM12" i="4"/>
  <c r="BE12" i="4"/>
  <c r="F225" i="9"/>
  <c r="F224" i="9"/>
  <c r="F223" i="9"/>
  <c r="F222" i="9"/>
  <c r="F221" i="9"/>
  <c r="F220" i="9"/>
  <c r="F219" i="9"/>
  <c r="F218" i="9"/>
  <c r="F217" i="9"/>
  <c r="F216" i="9"/>
  <c r="F215" i="9"/>
  <c r="F214" i="9"/>
  <c r="F213" i="9"/>
  <c r="F212" i="9"/>
  <c r="F211" i="9"/>
  <c r="F210" i="9"/>
  <c r="F209" i="9"/>
  <c r="F208" i="9"/>
  <c r="F207" i="9"/>
  <c r="F206" i="9"/>
  <c r="F205" i="9"/>
  <c r="F204" i="9"/>
  <c r="F203" i="9"/>
  <c r="F202" i="9"/>
  <c r="F201" i="9"/>
  <c r="F200" i="9"/>
  <c r="F199" i="9"/>
  <c r="F198" i="9"/>
  <c r="F197" i="9"/>
  <c r="F196" i="9"/>
  <c r="F195" i="9"/>
  <c r="F194" i="9"/>
  <c r="F193" i="9"/>
  <c r="F192" i="9"/>
  <c r="F191" i="9"/>
  <c r="F190" i="9"/>
  <c r="F189" i="9"/>
  <c r="F188" i="9"/>
  <c r="F187" i="9"/>
  <c r="F186" i="9"/>
  <c r="F185" i="9"/>
  <c r="F184" i="9"/>
  <c r="F183" i="9"/>
  <c r="F182" i="9"/>
  <c r="F181" i="9"/>
  <c r="F180" i="9"/>
  <c r="F179" i="9"/>
  <c r="F178" i="9"/>
  <c r="F177" i="9"/>
  <c r="F176" i="9"/>
  <c r="F175" i="9"/>
  <c r="F174" i="9"/>
  <c r="F173" i="9"/>
  <c r="F172" i="9"/>
  <c r="F171" i="9"/>
  <c r="F170" i="9"/>
  <c r="F169" i="9"/>
  <c r="F168" i="9"/>
  <c r="F167" i="9"/>
  <c r="F166" i="9"/>
  <c r="F165" i="9"/>
  <c r="F164" i="9"/>
  <c r="F163" i="9"/>
  <c r="F162" i="9"/>
  <c r="F160" i="9"/>
  <c r="F159" i="9"/>
  <c r="F158" i="9"/>
  <c r="F157" i="9"/>
  <c r="F156" i="9"/>
  <c r="F155" i="9"/>
  <c r="F154" i="9"/>
  <c r="F153" i="9"/>
  <c r="F152" i="9"/>
  <c r="F151" i="9"/>
  <c r="F150" i="9"/>
  <c r="F149" i="9"/>
  <c r="F148" i="9"/>
  <c r="F147" i="9"/>
  <c r="F146" i="9"/>
  <c r="F145" i="9"/>
  <c r="F144" i="9"/>
  <c r="F143" i="9"/>
  <c r="F142" i="9"/>
  <c r="F141" i="9"/>
  <c r="F140" i="9"/>
  <c r="F139" i="9"/>
  <c r="F138" i="9"/>
  <c r="F137" i="9"/>
  <c r="F136" i="9"/>
  <c r="F135" i="9"/>
  <c r="F134" i="9"/>
  <c r="F133" i="9"/>
  <c r="F132" i="9"/>
  <c r="F131" i="9"/>
  <c r="F130" i="9"/>
  <c r="F129" i="9"/>
  <c r="F128" i="9"/>
  <c r="F127" i="9"/>
  <c r="F126" i="9"/>
  <c r="F125" i="9"/>
  <c r="F124" i="9"/>
  <c r="F123" i="9"/>
  <c r="F122" i="9"/>
  <c r="F121" i="9"/>
  <c r="F120"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7" i="9"/>
  <c r="F86" i="9"/>
  <c r="F85" i="9"/>
  <c r="F84" i="9"/>
  <c r="F83" i="9"/>
  <c r="F82" i="9"/>
  <c r="F81" i="9"/>
  <c r="F80" i="9"/>
  <c r="F78" i="9"/>
  <c r="F77" i="9"/>
  <c r="F76" i="9"/>
  <c r="F75" i="9"/>
  <c r="F74" i="9"/>
  <c r="F73" i="9"/>
  <c r="F72" i="9"/>
  <c r="F71" i="9"/>
  <c r="F70" i="9"/>
  <c r="F69" i="9"/>
  <c r="F68" i="9"/>
  <c r="F67" i="9"/>
  <c r="F66" i="9"/>
  <c r="F65" i="9"/>
  <c r="F64" i="9"/>
  <c r="F63" i="9"/>
  <c r="F62" i="9"/>
  <c r="F61" i="9"/>
  <c r="F60" i="9"/>
  <c r="F59" i="9"/>
  <c r="F58" i="9"/>
  <c r="F57" i="9"/>
  <c r="F56" i="9"/>
  <c r="F55" i="9"/>
  <c r="F54" i="9"/>
  <c r="F53" i="9"/>
  <c r="F51" i="9"/>
  <c r="F45" i="9"/>
  <c r="F44" i="9"/>
  <c r="F42" i="9"/>
  <c r="F41" i="9"/>
  <c r="F40" i="9"/>
  <c r="F39" i="9"/>
  <c r="F33" i="9"/>
  <c r="F19" i="9"/>
  <c r="F18" i="9"/>
  <c r="F17" i="9"/>
  <c r="F15" i="9"/>
  <c r="F13" i="9"/>
  <c r="F12" i="9"/>
  <c r="F11" i="9"/>
  <c r="F10" i="9"/>
  <c r="F9" i="9"/>
  <c r="F8" i="9"/>
  <c r="F7" i="9"/>
  <c r="F6" i="9"/>
  <c r="F5" i="9"/>
  <c r="F4" i="9"/>
  <c r="F3" i="9"/>
  <c r="BO11" i="4" l="1"/>
  <c r="AU12" i="4"/>
  <c r="BF12" i="4"/>
  <c r="AA11" i="4"/>
  <c r="D11" i="4"/>
  <c r="AT11" i="4" l="1"/>
  <c r="AR11" i="4"/>
  <c r="J11" i="4"/>
  <c r="I11" i="4"/>
  <c r="AV39" i="4"/>
  <c r="AT39" i="4"/>
  <c r="AR39" i="4"/>
  <c r="AP39" i="4"/>
  <c r="AP11" i="4"/>
  <c r="AV11" i="4"/>
  <c r="AW11" i="4"/>
  <c r="AQ11" i="4"/>
  <c r="AO11" i="4"/>
  <c r="AG11" i="4"/>
  <c r="AH11" i="4"/>
  <c r="AI11" i="4"/>
  <c r="AJ11" i="4"/>
  <c r="AL11" i="4"/>
  <c r="AG39" i="4"/>
  <c r="AH39" i="4"/>
  <c r="AI39" i="4"/>
  <c r="AJ39" i="4"/>
  <c r="AL39" i="4"/>
  <c r="AM39" i="4"/>
  <c r="AO39" i="4"/>
  <c r="AQ39" i="4"/>
  <c r="AU39" i="4"/>
  <c r="AW39" i="4"/>
  <c r="AA1" i="5"/>
  <c r="AU11" i="4" l="1"/>
  <c r="BF11" i="4"/>
  <c r="AM11" i="4"/>
  <c r="BE11" i="4"/>
  <c r="Z5" i="4"/>
  <c r="AD12" i="4" s="1"/>
  <c r="AD11" i="4" l="1"/>
  <c r="AD39" i="4"/>
</calcChain>
</file>

<file path=xl/comments1.xml><?xml version="1.0" encoding="utf-8"?>
<comments xmlns="http://schemas.openxmlformats.org/spreadsheetml/2006/main">
  <authors>
    <author>TKECM</author>
  </authors>
  <commentList>
    <comment ref="G9" authorId="0" shapeId="0">
      <text>
        <r>
          <rPr>
            <b/>
            <sz val="9"/>
            <color indexed="81"/>
            <rFont val="Tahoma"/>
            <family val="2"/>
          </rPr>
          <t>TKECM:</t>
        </r>
        <r>
          <rPr>
            <sz val="9"/>
            <color indexed="81"/>
            <rFont val="Tahoma"/>
            <family val="2"/>
          </rPr>
          <t xml:space="preserve">
填入WBS后缀的梯号，如001</t>
        </r>
      </text>
    </comment>
    <comment ref="I9" authorId="0" shapeId="0">
      <text>
        <r>
          <rPr>
            <b/>
            <sz val="9"/>
            <color indexed="81"/>
            <rFont val="Tahoma"/>
            <family val="2"/>
          </rPr>
          <t>TKECM:</t>
        </r>
        <r>
          <rPr>
            <sz val="9"/>
            <color indexed="81"/>
            <rFont val="Tahoma"/>
            <family val="2"/>
          </rPr>
          <t xml:space="preserve">
此处描述尽量规范和简洁，详细的描述请在备注中阐述。</t>
        </r>
      </text>
    </comment>
    <comment ref="J9" authorId="0" shapeId="0">
      <text>
        <r>
          <rPr>
            <b/>
            <sz val="9"/>
            <color indexed="81"/>
            <rFont val="Tahoma"/>
            <family val="2"/>
          </rPr>
          <t>TKECM:</t>
        </r>
        <r>
          <rPr>
            <sz val="9"/>
            <color indexed="81"/>
            <rFont val="Tahoma"/>
            <family val="2"/>
          </rPr>
          <t xml:space="preserve">
此处描述尽量规范和简洁，详细的描述请在备注中阐述。</t>
        </r>
      </text>
    </comment>
    <comment ref="O9" authorId="0" shapeId="0">
      <text>
        <r>
          <rPr>
            <b/>
            <sz val="9"/>
            <color indexed="81"/>
            <rFont val="Tahoma"/>
            <family val="2"/>
          </rPr>
          <t>TKECM:
非标图纸设计者</t>
        </r>
      </text>
    </comment>
    <comment ref="P9" authorId="0" shapeId="0">
      <text>
        <r>
          <rPr>
            <b/>
            <sz val="9"/>
            <color indexed="81"/>
            <rFont val="Tahoma"/>
            <family val="2"/>
          </rPr>
          <t>TKECM:</t>
        </r>
        <r>
          <rPr>
            <sz val="9"/>
            <color indexed="81"/>
            <rFont val="Tahoma"/>
            <family val="2"/>
          </rPr>
          <t xml:space="preserve">
物料的描述一定要在备注中写清楚，越详细也好。
</t>
        </r>
      </text>
    </comment>
  </commentList>
</comments>
</file>

<file path=xl/sharedStrings.xml><?xml version="1.0" encoding="utf-8"?>
<sst xmlns="http://schemas.openxmlformats.org/spreadsheetml/2006/main" count="7409" uniqueCount="2688">
  <si>
    <t>项目名称：</t>
  </si>
  <si>
    <t>非标物号</t>
  </si>
  <si>
    <t>非标图号</t>
  </si>
  <si>
    <t>非标图纸设计</t>
  </si>
  <si>
    <t>备注</t>
  </si>
  <si>
    <t>Part NO.</t>
  </si>
  <si>
    <t>Drawing NO.</t>
  </si>
  <si>
    <t xml:space="preserve">Design </t>
  </si>
  <si>
    <t>日期(Date)：</t>
  </si>
  <si>
    <t>设计(Designed)：</t>
  </si>
  <si>
    <t>物料中文描述</t>
  </si>
  <si>
    <t>Part Description(CN)</t>
  </si>
  <si>
    <t>Part Description(EN)</t>
  </si>
  <si>
    <t>物料英文描述</t>
  </si>
  <si>
    <t xml:space="preserve">Remark </t>
  </si>
  <si>
    <t>非标物料汇总</t>
  </si>
  <si>
    <t>四位合同号：</t>
  </si>
  <si>
    <t>项目信息</t>
  </si>
  <si>
    <t>No.</t>
    <phoneticPr fontId="13" type="noConversion"/>
  </si>
  <si>
    <t>WBS项目号：</t>
    <phoneticPr fontId="13" type="noConversion"/>
  </si>
  <si>
    <r>
      <t xml:space="preserve">WBS
</t>
    </r>
    <r>
      <rPr>
        <sz val="8"/>
        <rFont val="宋体"/>
        <family val="3"/>
        <charset val="134"/>
      </rPr>
      <t>梯号</t>
    </r>
    <r>
      <rPr>
        <sz val="8"/>
        <rFont val="Arial"/>
        <family val="2"/>
      </rPr>
      <t xml:space="preserve">     </t>
    </r>
    <phoneticPr fontId="13" type="noConversion"/>
  </si>
  <si>
    <t xml:space="preserve">Remark
   备注 </t>
  </si>
  <si>
    <t>计划发运日期
Plan delivery date</t>
    <phoneticPr fontId="14" type="noConversion"/>
  </si>
  <si>
    <t>实际发运日期
Actual delivery date</t>
    <phoneticPr fontId="14" type="noConversion"/>
  </si>
  <si>
    <t>物料号码
Material number</t>
    <phoneticPr fontId="14" type="noConversion"/>
  </si>
  <si>
    <t>物料申请工程师
Apply engineer</t>
    <phoneticPr fontId="14" type="noConversion"/>
  </si>
  <si>
    <r>
      <t xml:space="preserve">Desc China  
 </t>
    </r>
    <r>
      <rPr>
        <sz val="9"/>
        <rFont val="宋体"/>
        <family val="3"/>
        <charset val="134"/>
      </rPr>
      <t>中文描述</t>
    </r>
    <r>
      <rPr>
        <sz val="9"/>
        <rFont val="TKTypeRegular"/>
        <family val="2"/>
      </rPr>
      <t xml:space="preserve">              </t>
    </r>
    <phoneticPr fontId="14" type="noConversion"/>
  </si>
  <si>
    <t>Part Dictionary check</t>
    <phoneticPr fontId="14" type="noConversion"/>
  </si>
  <si>
    <t>Plan A/B</t>
    <phoneticPr fontId="14" type="noConversion"/>
  </si>
  <si>
    <r>
      <t xml:space="preserve">Reference Point
</t>
    </r>
    <r>
      <rPr>
        <sz val="9"/>
        <rFont val="宋体"/>
        <family val="3"/>
        <charset val="134"/>
      </rPr>
      <t>参考点</t>
    </r>
    <phoneticPr fontId="14" type="noConversion"/>
  </si>
  <si>
    <t xml:space="preserve">Description  英文描述 </t>
    <phoneticPr fontId="14" type="noConversion"/>
  </si>
  <si>
    <t xml:space="preserve">Old Part No
  老物料号 </t>
    <phoneticPr fontId="14" type="noConversion"/>
  </si>
  <si>
    <t>项目号(WBS号)
Project No.</t>
  </si>
  <si>
    <t>项目名称
(Project Name)</t>
  </si>
  <si>
    <r>
      <rPr>
        <sz val="9"/>
        <rFont val="宋体"/>
        <family val="3"/>
        <charset val="134"/>
      </rPr>
      <t xml:space="preserve">梯型
</t>
    </r>
    <r>
      <rPr>
        <sz val="9"/>
        <rFont val="TKTypeRegular"/>
        <family val="2"/>
      </rPr>
      <t xml:space="preserve">Elevator type                    </t>
    </r>
    <phoneticPr fontId="14" type="noConversion"/>
  </si>
  <si>
    <t>图号 (if need)
Drawing Number</t>
  </si>
  <si>
    <r>
      <rPr>
        <sz val="9"/>
        <rFont val="宋体"/>
        <family val="3"/>
        <charset val="134"/>
      </rPr>
      <t xml:space="preserve">箱号
</t>
    </r>
    <r>
      <rPr>
        <sz val="9"/>
        <rFont val="TKTypeRegular"/>
        <family val="2"/>
      </rPr>
      <t xml:space="preserve">Box No.                       </t>
    </r>
    <phoneticPr fontId="14" type="noConversion"/>
  </si>
  <si>
    <t>项目编号 (四位号码)</t>
  </si>
  <si>
    <t>配置工程师(必填项)</t>
  </si>
  <si>
    <t>配置工程师(必填项)</t>
    <phoneticPr fontId="13" type="noConversion"/>
  </si>
  <si>
    <r>
      <t xml:space="preserve">Basic UOM
</t>
    </r>
    <r>
      <rPr>
        <sz val="9"/>
        <rFont val="宋体"/>
        <family val="3"/>
        <charset val="134"/>
      </rPr>
      <t>计量单位</t>
    </r>
    <phoneticPr fontId="14" type="noConversion"/>
  </si>
  <si>
    <r>
      <rPr>
        <sz val="10"/>
        <rFont val="宋体"/>
        <family val="3"/>
        <charset val="134"/>
      </rPr>
      <t>申请日期</t>
    </r>
    <r>
      <rPr>
        <sz val="10"/>
        <rFont val="TKTypeRegular"/>
        <family val="2"/>
      </rPr>
      <t xml:space="preserve">    </t>
    </r>
    <r>
      <rPr>
        <sz val="10"/>
        <rFont val="Arial"/>
        <family val="2"/>
      </rPr>
      <t>Date of Application</t>
    </r>
    <phoneticPr fontId="14" type="noConversion"/>
  </si>
  <si>
    <r>
      <rPr>
        <sz val="10"/>
        <rFont val="宋体"/>
        <family val="3"/>
        <charset val="134"/>
      </rPr>
      <t>项目号（</t>
    </r>
    <r>
      <rPr>
        <sz val="10"/>
        <rFont val="TKTypeRegular"/>
        <family val="2"/>
      </rPr>
      <t>WBS</t>
    </r>
    <r>
      <rPr>
        <sz val="10"/>
        <rFont val="宋体"/>
        <family val="3"/>
        <charset val="134"/>
      </rPr>
      <t xml:space="preserve">号）
</t>
    </r>
    <r>
      <rPr>
        <sz val="10"/>
        <rFont val="TKTypeRegular"/>
        <family val="2"/>
      </rPr>
      <t>Project No.</t>
    </r>
    <phoneticPr fontId="14" type="noConversion"/>
  </si>
  <si>
    <t>项目名称
(Project Name)</t>
    <phoneticPr fontId="14" type="noConversion"/>
  </si>
  <si>
    <t xml:space="preserve">梯型                      Elevator type                    </t>
    <phoneticPr fontId="14" type="noConversion"/>
  </si>
  <si>
    <r>
      <t xml:space="preserve">Desc China  
 </t>
    </r>
    <r>
      <rPr>
        <sz val="10"/>
        <rFont val="宋体"/>
        <family val="3"/>
        <charset val="134"/>
      </rPr>
      <t>中文描述</t>
    </r>
    <r>
      <rPr>
        <sz val="10"/>
        <rFont val="TKTypeRegular"/>
        <family val="2"/>
      </rPr>
      <t xml:space="preserve">              </t>
    </r>
    <phoneticPr fontId="14" type="noConversion"/>
  </si>
  <si>
    <t>是否需要图纸  
If need Drawing (Y/N)</t>
    <phoneticPr fontId="14" type="noConversion"/>
  </si>
  <si>
    <r>
      <rPr>
        <sz val="10"/>
        <rFont val="宋体"/>
        <family val="3"/>
        <charset val="134"/>
      </rPr>
      <t>图号</t>
    </r>
    <r>
      <rPr>
        <sz val="10"/>
        <rFont val="TKTypeRegular"/>
        <family val="2"/>
      </rPr>
      <t xml:space="preserve">            (if need)
Drawing Number</t>
    </r>
    <phoneticPr fontId="14" type="noConversion"/>
  </si>
  <si>
    <t xml:space="preserve">箱号                             Box No.                       </t>
    <phoneticPr fontId="14" type="noConversion"/>
  </si>
  <si>
    <r>
      <t xml:space="preserve">Reference Point
</t>
    </r>
    <r>
      <rPr>
        <sz val="10"/>
        <rFont val="宋体"/>
        <family val="3"/>
        <charset val="134"/>
      </rPr>
      <t>参考点</t>
    </r>
    <phoneticPr fontId="14" type="noConversion"/>
  </si>
  <si>
    <r>
      <t xml:space="preserve">Basic UOM
</t>
    </r>
    <r>
      <rPr>
        <sz val="10"/>
        <rFont val="宋体"/>
        <family val="3"/>
        <charset val="134"/>
      </rPr>
      <t xml:space="preserve">计量单位
</t>
    </r>
    <phoneticPr fontId="14" type="noConversion"/>
  </si>
  <si>
    <t>项目编号 （四位号码）</t>
    <phoneticPr fontId="14" type="noConversion"/>
  </si>
  <si>
    <r>
      <t xml:space="preserve">Gross Weight  </t>
    </r>
    <r>
      <rPr>
        <sz val="10"/>
        <rFont val="宋体"/>
        <family val="3"/>
        <charset val="134"/>
      </rPr>
      <t>重量</t>
    </r>
    <r>
      <rPr>
        <sz val="10"/>
        <rFont val="TKTypeRegular"/>
        <family val="2"/>
      </rPr>
      <t xml:space="preserve"> </t>
    </r>
    <phoneticPr fontId="14" type="noConversion"/>
  </si>
  <si>
    <t>配置工程师（必填项）</t>
    <phoneticPr fontId="14" type="noConversion"/>
  </si>
  <si>
    <t>配置工程师 （必填项）</t>
    <phoneticPr fontId="14" type="noConversion"/>
  </si>
  <si>
    <t xml:space="preserve">      配置工程师（必填项）</t>
    <phoneticPr fontId="14" type="noConversion"/>
  </si>
  <si>
    <t>配置工程师      （必填项）</t>
    <phoneticPr fontId="14" type="noConversion"/>
  </si>
  <si>
    <t>配置工程师   （必填项）</t>
    <phoneticPr fontId="14" type="noConversion"/>
  </si>
  <si>
    <t xml:space="preserve"> 配置工程师    （必填项）</t>
    <phoneticPr fontId="14" type="noConversion"/>
  </si>
  <si>
    <t>申请日期    Date of Application</t>
  </si>
  <si>
    <t>配置工程师（必填项）</t>
    <phoneticPr fontId="13" type="noConversion"/>
  </si>
  <si>
    <t>梯型</t>
    <phoneticPr fontId="14" type="noConversion"/>
  </si>
  <si>
    <t>Type</t>
    <phoneticPr fontId="14" type="noConversion"/>
  </si>
  <si>
    <r>
      <t>Gross Weight</t>
    </r>
    <r>
      <rPr>
        <sz val="9"/>
        <rFont val="TKTypeRegular"/>
        <family val="2"/>
      </rPr>
      <t xml:space="preserve"> </t>
    </r>
    <phoneticPr fontId="14" type="noConversion"/>
  </si>
  <si>
    <t>重量</t>
    <phoneticPr fontId="14" type="noConversion"/>
  </si>
  <si>
    <r>
      <t>Old Part No</t>
    </r>
    <r>
      <rPr>
        <sz val="9"/>
        <rFont val="TKTypeRegular"/>
        <family val="2"/>
      </rPr>
      <t xml:space="preserve"> </t>
    </r>
    <phoneticPr fontId="14" type="noConversion"/>
  </si>
  <si>
    <t>老物料号</t>
    <phoneticPr fontId="14" type="noConversion"/>
  </si>
  <si>
    <t>(必填项)</t>
    <phoneticPr fontId="14" type="noConversion"/>
  </si>
  <si>
    <t>(必填项)</t>
    <phoneticPr fontId="14" type="noConversion"/>
  </si>
  <si>
    <r>
      <rPr>
        <sz val="9"/>
        <rFont val="宋体"/>
        <family val="3"/>
        <charset val="134"/>
      </rPr>
      <t>审核</t>
    </r>
    <r>
      <rPr>
        <sz val="9"/>
        <rFont val="Arial"/>
        <family val="2"/>
      </rPr>
      <t>(Checked)</t>
    </r>
    <r>
      <rPr>
        <sz val="9"/>
        <rFont val="宋体"/>
        <family val="3"/>
        <charset val="134"/>
      </rPr>
      <t>：</t>
    </r>
    <phoneticPr fontId="14" type="noConversion"/>
  </si>
  <si>
    <r>
      <rPr>
        <sz val="9"/>
        <rFont val="宋体"/>
        <family val="3"/>
        <charset val="134"/>
      </rPr>
      <t>日期</t>
    </r>
    <r>
      <rPr>
        <sz val="9"/>
        <rFont val="Arial"/>
        <family val="2"/>
      </rPr>
      <t>(Date)</t>
    </r>
    <r>
      <rPr>
        <sz val="9"/>
        <rFont val="宋体"/>
        <family val="3"/>
        <charset val="134"/>
      </rPr>
      <t>：</t>
    </r>
    <phoneticPr fontId="14" type="noConversion"/>
  </si>
  <si>
    <r>
      <rPr>
        <sz val="9"/>
        <rFont val="宋体"/>
        <family val="3"/>
        <charset val="134"/>
      </rPr>
      <t>审定</t>
    </r>
    <r>
      <rPr>
        <sz val="9"/>
        <rFont val="Arial"/>
        <family val="2"/>
      </rPr>
      <t>(Approved)</t>
    </r>
    <r>
      <rPr>
        <sz val="9"/>
        <rFont val="宋体"/>
        <family val="3"/>
        <charset val="134"/>
      </rPr>
      <t>：</t>
    </r>
    <phoneticPr fontId="14" type="noConversion"/>
  </si>
  <si>
    <r>
      <t>PDM(Ready)</t>
    </r>
    <r>
      <rPr>
        <sz val="9"/>
        <rFont val="宋体"/>
        <family val="3"/>
        <charset val="134"/>
      </rPr>
      <t>：</t>
    </r>
    <phoneticPr fontId="14" type="noConversion"/>
  </si>
  <si>
    <r>
      <t>PDM(Active)</t>
    </r>
    <r>
      <rPr>
        <sz val="9"/>
        <rFont val="宋体"/>
        <family val="3"/>
        <charset val="134"/>
      </rPr>
      <t>：</t>
    </r>
    <phoneticPr fontId="14" type="noConversion"/>
  </si>
  <si>
    <t>编号：</t>
    <phoneticPr fontId="14" type="noConversion"/>
  </si>
  <si>
    <t xml:space="preserve">Box No.   </t>
    <phoneticPr fontId="14" type="noConversion"/>
  </si>
  <si>
    <r>
      <rPr>
        <sz val="8"/>
        <rFont val="宋体"/>
        <family val="3"/>
        <charset val="134"/>
      </rPr>
      <t>箱号</t>
    </r>
    <r>
      <rPr>
        <sz val="8"/>
        <rFont val="Arial"/>
        <family val="2"/>
      </rPr>
      <t xml:space="preserve">  </t>
    </r>
    <phoneticPr fontId="14" type="noConversion"/>
  </si>
  <si>
    <t>Reference Point</t>
    <phoneticPr fontId="14" type="noConversion"/>
  </si>
  <si>
    <t>参考点</t>
    <phoneticPr fontId="14" type="noConversion"/>
  </si>
  <si>
    <t>计量单位</t>
    <phoneticPr fontId="14" type="noConversion"/>
  </si>
  <si>
    <t>Basic UOM</t>
    <phoneticPr fontId="14" type="noConversion"/>
  </si>
  <si>
    <r>
      <t>是否需要图纸</t>
    </r>
    <r>
      <rPr>
        <sz val="9"/>
        <rFont val="Times New Roman"/>
        <family val="1"/>
      </rPr>
      <t xml:space="preserve">  
If need Drawing (Y/N)</t>
    </r>
    <phoneticPr fontId="14" type="noConversion"/>
  </si>
  <si>
    <t>If need Drawing (Y/N)</t>
    <phoneticPr fontId="14" type="noConversion"/>
  </si>
  <si>
    <r>
      <rPr>
        <sz val="8"/>
        <rFont val="宋体"/>
        <family val="3"/>
        <charset val="134"/>
      </rPr>
      <t>是否需要图纸</t>
    </r>
    <r>
      <rPr>
        <sz val="8"/>
        <rFont val="Arial"/>
        <family val="2"/>
      </rPr>
      <t xml:space="preserve">  </t>
    </r>
    <phoneticPr fontId="14" type="noConversion"/>
  </si>
  <si>
    <t>井道部件</t>
  </si>
  <si>
    <t>门板</t>
  </si>
  <si>
    <t>对重组件</t>
  </si>
  <si>
    <t>对重块</t>
  </si>
  <si>
    <t>02000</t>
    <phoneticPr fontId="9" type="noConversion"/>
  </si>
  <si>
    <t>05000</t>
  </si>
  <si>
    <t>A010</t>
  </si>
  <si>
    <t>A240</t>
  </si>
  <si>
    <t>A680</t>
  </si>
  <si>
    <t>A150</t>
  </si>
  <si>
    <t>A260</t>
  </si>
  <si>
    <t>A550</t>
  </si>
  <si>
    <t>A360</t>
  </si>
  <si>
    <t>A760</t>
  </si>
  <si>
    <t>是</t>
    <phoneticPr fontId="14" type="noConversion"/>
  </si>
  <si>
    <t>02000</t>
  </si>
  <si>
    <t>03000</t>
  </si>
  <si>
    <t>04000</t>
  </si>
  <si>
    <t>06000</t>
  </si>
  <si>
    <t>07000</t>
  </si>
  <si>
    <t>09001</t>
  </si>
  <si>
    <t>TDM_ID</t>
  </si>
  <si>
    <t>CN_DRAWING_NUMBER</t>
  </si>
  <si>
    <t>CN_OLD_DRAWING_NUMBER</t>
  </si>
  <si>
    <t>CN_PART_NAME_CHINESE</t>
  </si>
  <si>
    <t>TDM_DESCRIPTION</t>
  </si>
  <si>
    <t>CN_OUTLINE_SIZE</t>
  </si>
  <si>
    <t>CN_PART_TYPE|TN_PART_TYPE|TDM_NAME</t>
  </si>
  <si>
    <t>CN_MATERIAL_LOC</t>
  </si>
  <si>
    <t>CN_PART_WEIGHT</t>
  </si>
  <si>
    <t>TDM_UOM|TDM_UNIT_OF_MEASURE|TDM_NAME</t>
  </si>
  <si>
    <t>CN_COMMENT</t>
  </si>
  <si>
    <t>CN_COMPONENT_GROUP_CODE_SJ|TN_SYSTEMS|Cn_code_value</t>
  </si>
  <si>
    <t>CN_COMPONENT_GROUP_CODE_ZS|TN_SYSTEMS|Cn_code_value</t>
  </si>
  <si>
    <t>CN_ACTUAL_BOX_SJ|TN_SYSTEMS|Cn_code_value</t>
  </si>
  <si>
    <t>CN_ACTUAL_BOX_ZS|TN_SYSTEMS|Cn_code_value</t>
  </si>
  <si>
    <t>CN_IN_EO_NO</t>
  </si>
  <si>
    <t>ID--Part</t>
  </si>
  <si>
    <t>Drawing Number--Part</t>
    <phoneticPr fontId="1" type="noConversion"/>
  </si>
  <si>
    <t>Old Drawing Number--Part</t>
    <phoneticPr fontId="1" type="noConversion"/>
  </si>
  <si>
    <t>Part Name Chinese--Part</t>
    <phoneticPr fontId="1" type="noConversion"/>
  </si>
  <si>
    <t>Description--Part</t>
  </si>
  <si>
    <t>Outline Size--Part</t>
    <phoneticPr fontId="1" type="noConversion"/>
  </si>
  <si>
    <t>Material Loc--Part</t>
    <phoneticPr fontId="1" type="noConversion"/>
  </si>
  <si>
    <t>Item Weight--Part</t>
    <phoneticPr fontId="1" type="noConversion"/>
  </si>
  <si>
    <t>Units of Measure--Part</t>
  </si>
  <si>
    <t>Comment--Part</t>
  </si>
  <si>
    <t>A550</t>
    <phoneticPr fontId="14" type="noConversion"/>
  </si>
  <si>
    <t>11001</t>
    <phoneticPr fontId="14" type="noConversion"/>
  </si>
  <si>
    <t>底板组件</t>
  </si>
  <si>
    <t>门楣底板</t>
  </si>
  <si>
    <t>轿壁底板</t>
  </si>
  <si>
    <t>手工输入区</t>
    <phoneticPr fontId="14" type="noConversion"/>
  </si>
  <si>
    <t>Pos</t>
    <phoneticPr fontId="14" type="noConversion"/>
  </si>
  <si>
    <t>Components Classification</t>
    <phoneticPr fontId="14" type="noConversion"/>
  </si>
  <si>
    <t>No.</t>
    <phoneticPr fontId="14" type="noConversion"/>
  </si>
  <si>
    <r>
      <t>Components of PC Output/Delivery Goods (</t>
    </r>
    <r>
      <rPr>
        <b/>
        <sz val="10"/>
        <color indexed="10"/>
        <rFont val="TKTypeRegular"/>
        <family val="2"/>
      </rPr>
      <t>204</t>
    </r>
    <r>
      <rPr>
        <b/>
        <sz val="10"/>
        <color indexed="10"/>
        <rFont val="TKTypeRegular"/>
        <family val="2"/>
      </rPr>
      <t xml:space="preserve"> items</t>
    </r>
    <r>
      <rPr>
        <b/>
        <sz val="10"/>
        <rFont val="TKTypeRegular"/>
        <family val="2"/>
      </rPr>
      <t>)</t>
    </r>
    <phoneticPr fontId="14" type="noConversion"/>
  </si>
  <si>
    <t>Component Group #</t>
    <phoneticPr fontId="14" type="noConversion"/>
  </si>
  <si>
    <t>Packing Box #</t>
    <phoneticPr fontId="14" type="noConversion"/>
  </si>
  <si>
    <t>Products</t>
    <phoneticPr fontId="14" type="noConversion"/>
  </si>
  <si>
    <t>Comments</t>
    <phoneticPr fontId="14" type="noConversion"/>
  </si>
  <si>
    <t>SJ</t>
  </si>
  <si>
    <t>ZS</t>
  </si>
  <si>
    <t>GL1</t>
  </si>
  <si>
    <t>GL</t>
  </si>
  <si>
    <t>Evo1</t>
  </si>
  <si>
    <r>
      <t>HP61</t>
    </r>
    <r>
      <rPr>
        <b/>
        <sz val="10"/>
        <rFont val="宋体"/>
        <family val="3"/>
        <charset val="134"/>
      </rPr>
      <t>（</t>
    </r>
    <r>
      <rPr>
        <b/>
        <sz val="10"/>
        <rFont val="TKTypeRegular"/>
        <family val="2"/>
      </rPr>
      <t>3m/s-4m/s</t>
    </r>
    <r>
      <rPr>
        <b/>
        <sz val="10"/>
        <rFont val="宋体"/>
        <family val="3"/>
        <charset val="134"/>
      </rPr>
      <t>）</t>
    </r>
    <phoneticPr fontId="14" type="noConversion"/>
  </si>
  <si>
    <t>1</t>
    <phoneticPr fontId="14" type="noConversion"/>
  </si>
  <si>
    <r>
      <rPr>
        <b/>
        <sz val="10"/>
        <rFont val="宋体"/>
        <family val="3"/>
        <charset val="134"/>
      </rPr>
      <t>机房部件</t>
    </r>
    <r>
      <rPr>
        <b/>
        <sz val="10"/>
        <rFont val="TKTypeRegular"/>
        <family val="2"/>
      </rPr>
      <t>(</t>
    </r>
    <r>
      <rPr>
        <b/>
        <sz val="10"/>
        <rFont val="宋体"/>
        <family val="3"/>
        <charset val="134"/>
      </rPr>
      <t>顶层部件</t>
    </r>
    <r>
      <rPr>
        <b/>
        <sz val="10"/>
        <rFont val="TKTypeRegular"/>
        <family val="2"/>
      </rPr>
      <t>)/Machine Room Component(Head Room Component)</t>
    </r>
    <phoneticPr fontId="14" type="noConversion"/>
  </si>
  <si>
    <t>A010</t>
    <phoneticPr fontId="14" type="noConversion"/>
  </si>
  <si>
    <t>2#-1</t>
    <phoneticPr fontId="14" type="noConversion"/>
  </si>
  <si>
    <t>√</t>
  </si>
  <si>
    <t>Include:Traction Pulley Cover and Encoder cable etc.</t>
    <phoneticPr fontId="37" type="noConversion"/>
  </si>
  <si>
    <t>2</t>
    <phoneticPr fontId="14" type="noConversion"/>
  </si>
  <si>
    <t>A030</t>
    <phoneticPr fontId="14" type="noConversion"/>
  </si>
  <si>
    <t>2#-2</t>
    <phoneticPr fontId="14" type="noConversion"/>
  </si>
  <si>
    <t>×</t>
  </si>
  <si>
    <t>3</t>
  </si>
  <si>
    <t>A020</t>
    <phoneticPr fontId="14" type="noConversion"/>
  </si>
  <si>
    <t>4</t>
  </si>
  <si>
    <t>A070</t>
    <phoneticPr fontId="14" type="noConversion"/>
  </si>
  <si>
    <t>5</t>
  </si>
  <si>
    <t>A080</t>
    <phoneticPr fontId="14" type="noConversion"/>
  </si>
  <si>
    <t>6</t>
  </si>
  <si>
    <t>7</t>
  </si>
  <si>
    <t>8</t>
  </si>
  <si>
    <t>9</t>
  </si>
  <si>
    <t>A460</t>
    <phoneticPr fontId="14" type="noConversion"/>
  </si>
  <si>
    <t>6#</t>
    <phoneticPr fontId="14" type="noConversion"/>
  </si>
  <si>
    <t>10</t>
  </si>
  <si>
    <t>11</t>
  </si>
  <si>
    <t>12</t>
  </si>
  <si>
    <t>A710</t>
    <phoneticPr fontId="14" type="noConversion"/>
  </si>
  <si>
    <t>8#-2</t>
  </si>
  <si>
    <t>8#-2</t>
    <phoneticPr fontId="14" type="noConversion"/>
  </si>
  <si>
    <t>13</t>
  </si>
  <si>
    <t>14</t>
  </si>
  <si>
    <t>15</t>
  </si>
  <si>
    <t>A050</t>
    <phoneticPr fontId="14" type="noConversion"/>
  </si>
  <si>
    <t>2#-4</t>
  </si>
  <si>
    <t>16</t>
  </si>
  <si>
    <t>A660</t>
    <phoneticPr fontId="14" type="noConversion"/>
  </si>
  <si>
    <t>7#</t>
  </si>
  <si>
    <t>7#</t>
    <phoneticPr fontId="14" type="noConversion"/>
  </si>
  <si>
    <t>17</t>
  </si>
  <si>
    <t>18</t>
  </si>
  <si>
    <t>井道部件/Shaft Component</t>
  </si>
  <si>
    <t>19</t>
  </si>
  <si>
    <t>A480</t>
    <phoneticPr fontId="14" type="noConversion"/>
  </si>
  <si>
    <t>3#</t>
    <phoneticPr fontId="14" type="noConversion"/>
  </si>
  <si>
    <t xml:space="preserve">Include:Support of the car and middle and shaft side </t>
    <phoneticPr fontId="14" type="noConversion"/>
  </si>
  <si>
    <t>20</t>
  </si>
  <si>
    <t>21</t>
  </si>
  <si>
    <t>22</t>
  </si>
  <si>
    <t>A730</t>
    <phoneticPr fontId="14" type="noConversion"/>
  </si>
  <si>
    <t>Include:Anchor and Bolts etc.</t>
    <phoneticPr fontId="37" type="noConversion"/>
  </si>
  <si>
    <t>23</t>
  </si>
  <si>
    <t>24</t>
  </si>
  <si>
    <t>A240</t>
    <phoneticPr fontId="14" type="noConversion"/>
  </si>
  <si>
    <t>25</t>
  </si>
  <si>
    <t>A620</t>
  </si>
  <si>
    <t>26</t>
  </si>
  <si>
    <t>A680</t>
    <phoneticPr fontId="14" type="noConversion"/>
  </si>
  <si>
    <t>4#</t>
    <phoneticPr fontId="14" type="noConversion"/>
  </si>
  <si>
    <t>Unit: Piece</t>
  </si>
  <si>
    <t>27</t>
  </si>
  <si>
    <t>Unit: Meter</t>
    <phoneticPr fontId="14" type="noConversion"/>
  </si>
  <si>
    <t>28</t>
  </si>
  <si>
    <t>A700</t>
    <phoneticPr fontId="14" type="noConversion"/>
  </si>
  <si>
    <t>29</t>
  </si>
  <si>
    <t>30</t>
  </si>
  <si>
    <t>31</t>
  </si>
  <si>
    <t>A230</t>
    <phoneticPr fontId="14" type="noConversion"/>
  </si>
  <si>
    <t>32</t>
  </si>
  <si>
    <t>3#</t>
  </si>
  <si>
    <t>Include:Buffer Support and Anchor etc.</t>
    <phoneticPr fontId="14" type="noConversion"/>
  </si>
  <si>
    <t>33</t>
  </si>
  <si>
    <t>34</t>
  </si>
  <si>
    <t>35</t>
  </si>
  <si>
    <t>36</t>
  </si>
  <si>
    <t>37</t>
  </si>
  <si>
    <t>A490</t>
    <phoneticPr fontId="14" type="noConversion"/>
  </si>
  <si>
    <t>9#-1</t>
    <phoneticPr fontId="14" type="noConversion"/>
  </si>
  <si>
    <t>Include:Rope Fastening and Wire Line Clamp etc.</t>
    <phoneticPr fontId="37" type="noConversion"/>
  </si>
  <si>
    <t>38</t>
  </si>
  <si>
    <t>A750</t>
    <phoneticPr fontId="14" type="noConversion"/>
  </si>
  <si>
    <t>15#</t>
    <phoneticPr fontId="14" type="noConversion"/>
  </si>
  <si>
    <t>39</t>
  </si>
  <si>
    <t>40</t>
  </si>
  <si>
    <t>41</t>
  </si>
  <si>
    <t>A260</t>
    <phoneticPr fontId="14" type="noConversion"/>
  </si>
  <si>
    <t>3#-1</t>
    <phoneticPr fontId="14" type="noConversion"/>
  </si>
  <si>
    <t>42</t>
  </si>
  <si>
    <t>A430</t>
    <phoneticPr fontId="14" type="noConversion"/>
  </si>
  <si>
    <t>43</t>
  </si>
  <si>
    <t>8#-1</t>
    <phoneticPr fontId="14" type="noConversion"/>
  </si>
  <si>
    <t>44</t>
  </si>
  <si>
    <t>A450</t>
    <phoneticPr fontId="14" type="noConversion"/>
  </si>
  <si>
    <t>45</t>
  </si>
  <si>
    <t>46</t>
  </si>
  <si>
    <t>47</t>
  </si>
  <si>
    <t>48</t>
  </si>
  <si>
    <t>49</t>
  </si>
  <si>
    <t>16#</t>
    <phoneticPr fontId="14" type="noConversion"/>
  </si>
  <si>
    <t>50</t>
  </si>
  <si>
    <t>51</t>
  </si>
  <si>
    <t>52</t>
  </si>
  <si>
    <t>53</t>
  </si>
  <si>
    <t>54</t>
  </si>
  <si>
    <t>井道照明灯</t>
  </si>
  <si>
    <t>55</t>
  </si>
  <si>
    <t>消防返回到位开关组件</t>
  </si>
  <si>
    <t>56</t>
  </si>
  <si>
    <t>底坑爬梯</t>
  </si>
  <si>
    <t>57</t>
  </si>
  <si>
    <t>中继器安装盒</t>
  </si>
  <si>
    <t>58</t>
  </si>
  <si>
    <t>3</t>
    <phoneticPr fontId="14" type="noConversion"/>
  </si>
  <si>
    <t>轿厢/Car</t>
    <phoneticPr fontId="14" type="noConversion"/>
  </si>
  <si>
    <t>59</t>
  </si>
  <si>
    <t>A550</t>
    <phoneticPr fontId="14" type="noConversion"/>
  </si>
  <si>
    <t>11#-1</t>
    <phoneticPr fontId="14" type="noConversion"/>
  </si>
  <si>
    <t>11#</t>
    <phoneticPr fontId="14" type="noConversion"/>
  </si>
  <si>
    <t>60</t>
  </si>
  <si>
    <t>A580</t>
    <phoneticPr fontId="14" type="noConversion"/>
  </si>
  <si>
    <t>61</t>
  </si>
  <si>
    <t>62</t>
  </si>
  <si>
    <t>63</t>
  </si>
  <si>
    <t>A590</t>
    <phoneticPr fontId="14" type="noConversion"/>
  </si>
  <si>
    <t>10#-1</t>
    <phoneticPr fontId="14" type="noConversion"/>
  </si>
  <si>
    <t>10#</t>
    <phoneticPr fontId="14" type="noConversion"/>
  </si>
  <si>
    <t>64</t>
  </si>
  <si>
    <t>A540</t>
    <phoneticPr fontId="14" type="noConversion"/>
  </si>
  <si>
    <t>A610</t>
    <phoneticPr fontId="14" type="noConversion"/>
  </si>
  <si>
    <t>11#-2</t>
    <phoneticPr fontId="14" type="noConversion"/>
  </si>
  <si>
    <t>11#</t>
  </si>
  <si>
    <t>65</t>
  </si>
  <si>
    <t>A500</t>
    <phoneticPr fontId="14" type="noConversion"/>
  </si>
  <si>
    <t>66</t>
  </si>
  <si>
    <t>67</t>
  </si>
  <si>
    <t>Include:Lamp</t>
    <phoneticPr fontId="14" type="noConversion"/>
  </si>
  <si>
    <t>68</t>
  </si>
  <si>
    <t>A420</t>
    <phoneticPr fontId="14" type="noConversion"/>
  </si>
  <si>
    <t>69</t>
  </si>
  <si>
    <t>A330</t>
    <phoneticPr fontId="14" type="noConversion"/>
  </si>
  <si>
    <t>Include:Car Floor and Frame Kick Plate and Floor Decoration Cover etc.</t>
    <phoneticPr fontId="37" type="noConversion"/>
  </si>
  <si>
    <t>70</t>
  </si>
  <si>
    <t>A440</t>
    <phoneticPr fontId="14" type="noConversion"/>
  </si>
  <si>
    <t>4</t>
    <phoneticPr fontId="14" type="noConversion"/>
  </si>
  <si>
    <t>轿厢架/Car Frame</t>
    <phoneticPr fontId="14" type="noConversion"/>
  </si>
  <si>
    <t>71</t>
  </si>
  <si>
    <t>Include:Top Beam and Car Frame Brace Rod etc.</t>
    <phoneticPr fontId="37" type="noConversion"/>
  </si>
  <si>
    <t>72</t>
  </si>
  <si>
    <t>73</t>
    <phoneticPr fontId="14" type="noConversion"/>
  </si>
  <si>
    <t>10#</t>
  </si>
  <si>
    <t>74</t>
  </si>
  <si>
    <t>A350</t>
    <phoneticPr fontId="14" type="noConversion"/>
  </si>
  <si>
    <t>75</t>
  </si>
  <si>
    <t>A380</t>
    <phoneticPr fontId="14" type="noConversion"/>
  </si>
  <si>
    <t>76</t>
  </si>
  <si>
    <t>A320</t>
    <phoneticPr fontId="14" type="noConversion"/>
  </si>
  <si>
    <t>9#-2</t>
  </si>
  <si>
    <t>9#-3</t>
    <phoneticPr fontId="14" type="noConversion"/>
  </si>
  <si>
    <t>77</t>
  </si>
  <si>
    <t>78</t>
  </si>
  <si>
    <t>79</t>
  </si>
  <si>
    <t>80</t>
  </si>
  <si>
    <t>A290</t>
    <phoneticPr fontId="14" type="noConversion"/>
  </si>
  <si>
    <t>81</t>
  </si>
  <si>
    <t>82</t>
  </si>
  <si>
    <t>9#-2</t>
    <phoneticPr fontId="14" type="noConversion"/>
  </si>
  <si>
    <t>83</t>
  </si>
  <si>
    <t>84</t>
  </si>
  <si>
    <t>A280</t>
    <phoneticPr fontId="14" type="noConversion"/>
  </si>
  <si>
    <t>85</t>
  </si>
  <si>
    <t>A800</t>
    <phoneticPr fontId="14" type="noConversion"/>
  </si>
  <si>
    <t>11#-1</t>
  </si>
  <si>
    <t>86</t>
  </si>
  <si>
    <t>87</t>
  </si>
  <si>
    <t>88</t>
  </si>
  <si>
    <t>89</t>
  </si>
  <si>
    <t>A340</t>
    <phoneticPr fontId="14" type="noConversion"/>
  </si>
  <si>
    <t>1#</t>
    <phoneticPr fontId="14" type="noConversion"/>
  </si>
  <si>
    <t>90</t>
  </si>
  <si>
    <t>A630</t>
    <phoneticPr fontId="14" type="noConversion"/>
  </si>
  <si>
    <t>5</t>
    <phoneticPr fontId="14" type="noConversion"/>
  </si>
  <si>
    <t>91</t>
  </si>
  <si>
    <t>A360</t>
    <phoneticPr fontId="14" type="noConversion"/>
  </si>
  <si>
    <t>13#</t>
    <phoneticPr fontId="14" type="noConversion"/>
  </si>
  <si>
    <t>92</t>
  </si>
  <si>
    <t>93</t>
  </si>
  <si>
    <t>94</t>
  </si>
  <si>
    <t>95</t>
  </si>
  <si>
    <t>A760</t>
    <phoneticPr fontId="14" type="noConversion"/>
  </si>
  <si>
    <t>14#</t>
    <phoneticPr fontId="14" type="noConversion"/>
  </si>
  <si>
    <t>96</t>
  </si>
  <si>
    <t>A740</t>
    <phoneticPr fontId="14" type="noConversion"/>
  </si>
  <si>
    <t>97</t>
  </si>
  <si>
    <t>98</t>
  </si>
  <si>
    <t>6</t>
    <phoneticPr fontId="14" type="noConversion"/>
  </si>
  <si>
    <t>轿门系统/Car Door System</t>
    <phoneticPr fontId="14" type="noConversion"/>
  </si>
  <si>
    <t>99</t>
  </si>
  <si>
    <t>A560</t>
    <phoneticPr fontId="14" type="noConversion"/>
  </si>
  <si>
    <t>12#</t>
    <phoneticPr fontId="14" type="noConversion"/>
  </si>
  <si>
    <t>Only for 5m/s</t>
    <phoneticPr fontId="14" type="noConversion"/>
  </si>
  <si>
    <t>100</t>
  </si>
  <si>
    <t>101</t>
  </si>
  <si>
    <t>A390</t>
    <phoneticPr fontId="14" type="noConversion"/>
  </si>
  <si>
    <t>102</t>
  </si>
  <si>
    <t>A200</t>
    <phoneticPr fontId="14" type="noConversion"/>
  </si>
  <si>
    <t>103</t>
  </si>
  <si>
    <t>104</t>
  </si>
  <si>
    <t>105</t>
  </si>
  <si>
    <t>When self-manufacture,C/Door Sill Support and C/Door Apron should be separated from Car Door Fix Accessories.
Include:C/Door Sill Support and C/Door Apron and Triangular Key and Door Guide Shoe etc.</t>
    <phoneticPr fontId="14" type="noConversion"/>
  </si>
  <si>
    <t>106</t>
  </si>
  <si>
    <t>A600</t>
    <phoneticPr fontId="14" type="noConversion"/>
  </si>
  <si>
    <t>107</t>
  </si>
  <si>
    <t>7</t>
    <phoneticPr fontId="14" type="noConversion"/>
  </si>
  <si>
    <t>厅门/Landing Door</t>
    <phoneticPr fontId="14" type="noConversion"/>
  </si>
  <si>
    <t>108</t>
  </si>
  <si>
    <t>A520</t>
    <phoneticPr fontId="14" type="noConversion"/>
  </si>
  <si>
    <t>5#-1</t>
    <phoneticPr fontId="14" type="noConversion"/>
  </si>
  <si>
    <t>When self-manufacture, should be separated by Landing Left Door and Landing Right Door</t>
    <phoneticPr fontId="14" type="noConversion"/>
  </si>
  <si>
    <t>109</t>
  </si>
  <si>
    <t>A130</t>
    <phoneticPr fontId="14" type="noConversion"/>
  </si>
  <si>
    <t>When self-manufacture, should be separated by Landing Door Lintel Assy and Jamb Left Post and Jamb Right Post</t>
    <phoneticPr fontId="14" type="noConversion"/>
  </si>
  <si>
    <t>110</t>
  </si>
  <si>
    <t>A150</t>
    <phoneticPr fontId="14" type="noConversion"/>
  </si>
  <si>
    <t>5#-2</t>
    <phoneticPr fontId="14" type="noConversion"/>
  </si>
  <si>
    <t>111</t>
  </si>
  <si>
    <t>112</t>
  </si>
  <si>
    <t>113</t>
  </si>
  <si>
    <t>A220</t>
    <phoneticPr fontId="14" type="noConversion"/>
  </si>
  <si>
    <t>114</t>
  </si>
  <si>
    <r>
      <rPr>
        <b/>
        <sz val="10"/>
        <rFont val="宋体"/>
        <family val="3"/>
        <charset val="134"/>
      </rPr>
      <t>人机界面</t>
    </r>
    <r>
      <rPr>
        <b/>
        <sz val="10"/>
        <rFont val="TKTypeRegular"/>
        <family val="2"/>
      </rPr>
      <t>/Human Interface</t>
    </r>
    <phoneticPr fontId="14" type="noConversion"/>
  </si>
  <si>
    <t>115</t>
  </si>
  <si>
    <t>116</t>
  </si>
  <si>
    <t>Include: Intercom etc.</t>
    <phoneticPr fontId="14" type="noConversion"/>
  </si>
  <si>
    <t>117</t>
  </si>
  <si>
    <t>A400</t>
    <phoneticPr fontId="14" type="noConversion"/>
  </si>
  <si>
    <t>118</t>
  </si>
  <si>
    <t>119</t>
  </si>
  <si>
    <t>A510</t>
    <phoneticPr fontId="14" type="noConversion"/>
  </si>
  <si>
    <t>120</t>
  </si>
  <si>
    <t>121</t>
  </si>
  <si>
    <t>122</t>
  </si>
  <si>
    <t>123</t>
  </si>
  <si>
    <t>124</t>
  </si>
  <si>
    <t>125</t>
  </si>
  <si>
    <t>126</t>
  </si>
  <si>
    <t>127</t>
  </si>
  <si>
    <t>A570</t>
    <phoneticPr fontId="14" type="noConversion"/>
  </si>
  <si>
    <t>8#-3</t>
    <phoneticPr fontId="14" type="noConversion"/>
  </si>
  <si>
    <t>For COP, PC Outputs are not the same as Deliverable Goods. CE should apply a new part number of COP for each lift when deal with contract.</t>
    <phoneticPr fontId="14" type="noConversion"/>
  </si>
  <si>
    <t>128</t>
  </si>
  <si>
    <t>9</t>
    <phoneticPr fontId="14" type="noConversion"/>
  </si>
  <si>
    <r>
      <rPr>
        <b/>
        <sz val="10"/>
        <rFont val="宋体"/>
        <family val="3"/>
        <charset val="134"/>
      </rPr>
      <t>控制系统</t>
    </r>
    <r>
      <rPr>
        <b/>
        <sz val="10"/>
        <rFont val="TKTypeRegular"/>
        <family val="2"/>
      </rPr>
      <t>/Control System</t>
    </r>
    <phoneticPr fontId="14" type="noConversion"/>
  </si>
  <si>
    <t>129</t>
  </si>
  <si>
    <t>For standard function, PC will output the controller of the standard function; the controller of the standard function include Semi-finished Controller and Main Board and Chip.
For non-standard function, PC will output semi-finished controller and Main Board and Chip and Function accessories, CE should apply a new part number of the Controller for each lift when deal with contract.</t>
  </si>
  <si>
    <t>130</t>
  </si>
  <si>
    <t>10</t>
    <phoneticPr fontId="14" type="noConversion"/>
  </si>
  <si>
    <t>定位系统/Position Reference System</t>
    <phoneticPr fontId="14" type="noConversion"/>
  </si>
  <si>
    <t>131</t>
  </si>
  <si>
    <t>A410</t>
    <phoneticPr fontId="14" type="noConversion"/>
  </si>
  <si>
    <t>132</t>
  </si>
  <si>
    <t>A690</t>
    <phoneticPr fontId="14" type="noConversion"/>
  </si>
  <si>
    <t>133</t>
  </si>
  <si>
    <t>134</t>
  </si>
  <si>
    <t>135</t>
  </si>
  <si>
    <t>136</t>
  </si>
  <si>
    <t>137</t>
  </si>
  <si>
    <t>138</t>
  </si>
  <si>
    <t>139</t>
  </si>
  <si>
    <t>8#-1</t>
  </si>
  <si>
    <t>140</t>
  </si>
  <si>
    <r>
      <rPr>
        <b/>
        <sz val="10"/>
        <rFont val="宋体"/>
        <family val="3"/>
        <charset val="134"/>
      </rPr>
      <t>电缆</t>
    </r>
    <r>
      <rPr>
        <b/>
        <sz val="10"/>
        <rFont val="TKTypeRegular"/>
        <family val="2"/>
      </rPr>
      <t>/Cable</t>
    </r>
    <phoneticPr fontId="14" type="noConversion"/>
  </si>
  <si>
    <t>141</t>
  </si>
  <si>
    <t>A670</t>
    <phoneticPr fontId="14" type="noConversion"/>
  </si>
  <si>
    <t>142</t>
  </si>
  <si>
    <t>143</t>
  </si>
  <si>
    <t>144</t>
  </si>
  <si>
    <t>145</t>
  </si>
  <si>
    <t>146</t>
  </si>
  <si>
    <t>147</t>
  </si>
  <si>
    <t>148</t>
  </si>
  <si>
    <t>149</t>
  </si>
  <si>
    <t>150</t>
  </si>
  <si>
    <t>151</t>
  </si>
  <si>
    <t>152</t>
  </si>
  <si>
    <t>Unit: Meter</t>
  </si>
  <si>
    <t>153</t>
  </si>
  <si>
    <t>Unit:Piece</t>
  </si>
  <si>
    <t>154</t>
  </si>
  <si>
    <t>155</t>
  </si>
  <si>
    <t>156</t>
  </si>
  <si>
    <t>157</t>
  </si>
  <si>
    <t>158</t>
  </si>
  <si>
    <t>159</t>
  </si>
  <si>
    <t>160</t>
  </si>
  <si>
    <t>161</t>
  </si>
  <si>
    <t>162</t>
  </si>
  <si>
    <t>163</t>
  </si>
  <si>
    <t>Unit: Piece</t>
    <phoneticPr fontId="14" type="noConversion"/>
  </si>
  <si>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</si>
  <si>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</si>
  <si>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</si>
  <si>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</si>
  <si>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</si>
  <si>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</si>
  <si>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</si>
  <si>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</si>
  <si>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</si>
  <si>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</si>
  <si>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</si>
  <si>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</si>
  <si>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</si>
  <si>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</si>
  <si>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</si>
  <si>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</si>
  <si>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</si>
  <si>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</si>
  <si>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</si>
  <si>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</si>
  <si>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</si>
  <si>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</si>
  <si>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</si>
  <si>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</si>
  <si>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</si>
  <si>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</si>
  <si>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</si>
  <si>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</si>
  <si>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</si>
  <si>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</si>
  <si>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12</t>
    <phoneticPr fontId="14" type="noConversion"/>
  </si>
  <si>
    <r>
      <rPr>
        <b/>
        <sz val="10"/>
        <rFont val="宋体"/>
        <family val="3"/>
        <charset val="134"/>
      </rPr>
      <t>安装附件</t>
    </r>
    <r>
      <rPr>
        <b/>
        <sz val="10"/>
        <rFont val="TKTypeRegular"/>
        <family val="2"/>
      </rPr>
      <t>/Installation  Accessories</t>
    </r>
    <phoneticPr fontId="14" type="noConversion"/>
  </si>
  <si>
    <t>194</t>
  </si>
  <si>
    <t>A620</t>
    <phoneticPr fontId="14" type="noConversion"/>
  </si>
  <si>
    <t>195</t>
  </si>
  <si>
    <t>196</t>
  </si>
  <si>
    <t>197</t>
  </si>
  <si>
    <t>198</t>
  </si>
  <si>
    <t>199</t>
  </si>
  <si>
    <t>A720</t>
    <phoneticPr fontId="14" type="noConversion"/>
  </si>
  <si>
    <t>200</t>
  </si>
  <si>
    <t>201</t>
  </si>
  <si>
    <t>202</t>
  </si>
  <si>
    <t>Fixed shaft cables</t>
    <phoneticPr fontId="14" type="noConversion"/>
  </si>
  <si>
    <t>203</t>
  </si>
  <si>
    <t>204</t>
  </si>
  <si>
    <t>曳引机机架</t>
  </si>
  <si>
    <t>导向轮组件</t>
  </si>
  <si>
    <t>橡胶块</t>
  </si>
  <si>
    <t>吊环螺钉</t>
  </si>
  <si>
    <t>隔音装置</t>
  </si>
  <si>
    <t>井道顶部梁</t>
  </si>
  <si>
    <t>限速器组件</t>
  </si>
  <si>
    <t>限速器张紧装置</t>
  </si>
  <si>
    <t>张紧装置附件</t>
  </si>
  <si>
    <t>应急灯连接板</t>
  </si>
  <si>
    <t>应急灯</t>
  </si>
  <si>
    <t>松闸装置</t>
  </si>
  <si>
    <t>搁机梁</t>
  </si>
  <si>
    <t>自动救援装置</t>
  </si>
  <si>
    <t>自动救援装置电源</t>
  </si>
  <si>
    <t>电源电缆接线盒</t>
  </si>
  <si>
    <t>随行电缆支架组件</t>
  </si>
  <si>
    <t>钢丝绳(随行电缆保护)</t>
  </si>
  <si>
    <t>随行电缆保护装置</t>
  </si>
  <si>
    <t>导轨支架</t>
  </si>
  <si>
    <t>导轨座</t>
  </si>
  <si>
    <t>集油盒</t>
  </si>
  <si>
    <t>顶部导轨</t>
  </si>
  <si>
    <t>导轨</t>
  </si>
  <si>
    <t>导轨附件</t>
  </si>
  <si>
    <t>缓冲器</t>
  </si>
  <si>
    <t>缓冲器安装附件</t>
  </si>
  <si>
    <t>缓冲器底座(轿厢侧)</t>
  </si>
  <si>
    <t>缓冲器支架(轿厢侧)</t>
  </si>
  <si>
    <t>缓冲器底座(对重侧)</t>
  </si>
  <si>
    <t>缓冲器支架(对重侧)</t>
  </si>
  <si>
    <t>绳头端接装置</t>
  </si>
  <si>
    <t>钢丝绳</t>
  </si>
  <si>
    <t>钢丝绳夹</t>
  </si>
  <si>
    <t>消防感应组件</t>
  </si>
  <si>
    <t>井道分线盒</t>
  </si>
  <si>
    <t>补偿绳张紧装置组件</t>
  </si>
  <si>
    <t>补偿绳张紧装置横梁</t>
  </si>
  <si>
    <t>油压阻尼器</t>
  </si>
  <si>
    <t>木夹</t>
  </si>
  <si>
    <t>补偿缆</t>
  </si>
  <si>
    <t>补偿缆支架</t>
  </si>
  <si>
    <t>补偿链</t>
  </si>
  <si>
    <t>补偿链固定组件</t>
  </si>
  <si>
    <t>导向装置组件</t>
  </si>
  <si>
    <t>锁梯装置</t>
  </si>
  <si>
    <t>轿壁</t>
  </si>
  <si>
    <t>轿门门楣组件</t>
  </si>
  <si>
    <t>遮光板</t>
  </si>
  <si>
    <t>轿壁连接件</t>
  </si>
  <si>
    <t>轿厢扶手组件</t>
  </si>
  <si>
    <t>镜子组件</t>
  </si>
  <si>
    <t>轿顶</t>
  </si>
  <si>
    <t>风扇</t>
  </si>
  <si>
    <t>吊顶</t>
  </si>
  <si>
    <t>轿顶防护栏</t>
  </si>
  <si>
    <t>轿底组件</t>
  </si>
  <si>
    <t>平衡块</t>
  </si>
  <si>
    <t>上梁组件</t>
  </si>
  <si>
    <t>轿顶轮组件</t>
  </si>
  <si>
    <t>下梁组件</t>
  </si>
  <si>
    <t>减震装置</t>
  </si>
  <si>
    <t>滑动导靴</t>
  </si>
  <si>
    <t>轿底托架</t>
  </si>
  <si>
    <t>称重支架</t>
  </si>
  <si>
    <t>减震压簧</t>
  </si>
  <si>
    <t>其他垫片</t>
  </si>
  <si>
    <t>滚动导靴(轿厢侧）</t>
  </si>
  <si>
    <t>油杯组件</t>
  </si>
  <si>
    <t>轿厢架立柱组件</t>
  </si>
  <si>
    <t>轿架斜拉杆</t>
  </si>
  <si>
    <t>安全钳</t>
  </si>
  <si>
    <t>空调</t>
  </si>
  <si>
    <t>空调安装支架</t>
  </si>
  <si>
    <t>空调安装附件</t>
  </si>
  <si>
    <t>平衡块挡板组件</t>
  </si>
  <si>
    <t>称重装置</t>
  </si>
  <si>
    <t>称重控制盒</t>
  </si>
  <si>
    <t>对重轮组件</t>
  </si>
  <si>
    <t>对重框架组件</t>
  </si>
  <si>
    <t>对重防护栏导轨压板附件</t>
  </si>
  <si>
    <t>定距块组件</t>
  </si>
  <si>
    <t>调节对重块</t>
  </si>
  <si>
    <t>对重防护栏组件</t>
  </si>
  <si>
    <t>K5 轿门系统</t>
  </si>
  <si>
    <t>轿门安装附件</t>
  </si>
  <si>
    <t>轿门悬挂组件</t>
  </si>
  <si>
    <t>门地坎</t>
  </si>
  <si>
    <t>轿门门板</t>
  </si>
  <si>
    <t>门电机组件</t>
  </si>
  <si>
    <t>光幕</t>
  </si>
  <si>
    <t>光幕支撑板</t>
  </si>
  <si>
    <t>厅门门板</t>
  </si>
  <si>
    <t>小门套</t>
  </si>
  <si>
    <t>厅门悬挂组件</t>
  </si>
  <si>
    <t>厅门地坎托架</t>
  </si>
  <si>
    <t>厅门护脚板</t>
  </si>
  <si>
    <t>厅门安装附件</t>
  </si>
  <si>
    <t>召唤显示箱</t>
  </si>
  <si>
    <t>召唤箱</t>
  </si>
  <si>
    <t>厅门显示箱</t>
  </si>
  <si>
    <t>底坑检修箱</t>
  </si>
  <si>
    <t>轿顶检修箱</t>
  </si>
  <si>
    <t>对讲机(轿顶检修箱)</t>
  </si>
  <si>
    <t>语音报站</t>
  </si>
  <si>
    <t>井道电源盒</t>
  </si>
  <si>
    <t>消防开关盒</t>
  </si>
  <si>
    <t>蜂鸣器</t>
  </si>
  <si>
    <t>辅助急停开关盒</t>
  </si>
  <si>
    <t>电梯紧急通讯报警系统电源</t>
  </si>
  <si>
    <t>对讲机(监控室)</t>
  </si>
  <si>
    <t>操纵箱面板</t>
  </si>
  <si>
    <t>操纵箱盖板</t>
  </si>
  <si>
    <t>对讲机</t>
  </si>
  <si>
    <t>按钮</t>
  </si>
  <si>
    <t>芯片</t>
  </si>
  <si>
    <t>控制板</t>
  </si>
  <si>
    <t>轿厢显示板</t>
  </si>
  <si>
    <t>到站钟</t>
  </si>
  <si>
    <t>警示牌</t>
  </si>
  <si>
    <t>操纵箱电缆</t>
  </si>
  <si>
    <t>Bolt 板接线盒</t>
  </si>
  <si>
    <t>控制柜</t>
  </si>
  <si>
    <t>变频器柜</t>
  </si>
  <si>
    <t>电路板</t>
  </si>
  <si>
    <t>预开门功能组件</t>
  </si>
  <si>
    <t>地震功能附件</t>
  </si>
  <si>
    <t>高峰运行功能附件</t>
  </si>
  <si>
    <t>自动救援功能附件</t>
  </si>
  <si>
    <t>BAS接口功能附件</t>
  </si>
  <si>
    <t>松闸功能组件</t>
  </si>
  <si>
    <t>控制柜安装附件</t>
  </si>
  <si>
    <t>感应组件</t>
  </si>
  <si>
    <t>极限开关组件</t>
  </si>
  <si>
    <t>撞弓组件</t>
  </si>
  <si>
    <t>限位触发组件</t>
  </si>
  <si>
    <t>叶片支架组件</t>
  </si>
  <si>
    <t>叶片支架加强组件</t>
  </si>
  <si>
    <t>选层器叶片</t>
  </si>
  <si>
    <t>门区叶片</t>
  </si>
  <si>
    <t>端站减速组件</t>
  </si>
  <si>
    <t>主电源电缆</t>
  </si>
  <si>
    <t>照明电源电缆</t>
  </si>
  <si>
    <t>动力电缆</t>
  </si>
  <si>
    <t>制动器检测开关电缆</t>
  </si>
  <si>
    <t>制动器线圈电缆</t>
  </si>
  <si>
    <t>热敏电阻电缆</t>
  </si>
  <si>
    <t>轿厢限速器开关电缆</t>
  </si>
  <si>
    <t>群控通讯电缆</t>
  </si>
  <si>
    <t>群控消防返回电缆</t>
  </si>
  <si>
    <t>群控高峰服务电缆</t>
  </si>
  <si>
    <t>松闸限速器控制电缆</t>
  </si>
  <si>
    <t>松闸装置电源电缆</t>
  </si>
  <si>
    <t>松闸线圈控制电缆</t>
  </si>
  <si>
    <t>控制柜-变频器柜电源电缆</t>
  </si>
  <si>
    <t>控制柜-变频器柜强电控制电缆</t>
  </si>
  <si>
    <t>控制柜-变频器柜弱电控制电缆</t>
  </si>
  <si>
    <t>基站锁电缆</t>
  </si>
  <si>
    <t>底坑对讲电缆</t>
  </si>
  <si>
    <t>底坑电缆</t>
  </si>
  <si>
    <t>警铃电缆</t>
  </si>
  <si>
    <t>消防紧急返回电缆</t>
  </si>
  <si>
    <t>消防返回到位电缆</t>
  </si>
  <si>
    <t>消防员操作电缆</t>
  </si>
  <si>
    <t>消防平层开关电缆</t>
  </si>
  <si>
    <t>厅门锁电缆</t>
  </si>
  <si>
    <t>外召通讯电缆</t>
  </si>
  <si>
    <t>外召电源电缆</t>
  </si>
  <si>
    <t>井道电源盒电源电缆</t>
  </si>
  <si>
    <t>上极限开关电缆</t>
  </si>
  <si>
    <t>下极限开关电缆</t>
  </si>
  <si>
    <t>张紧轮开关电缆</t>
  </si>
  <si>
    <t>对重缓冲器开关电缆</t>
  </si>
  <si>
    <t>轿厢缓冲器开关电缆</t>
  </si>
  <si>
    <t>随行电缆</t>
  </si>
  <si>
    <t>井道照明电缆</t>
  </si>
  <si>
    <t>上限位开关电缆</t>
  </si>
  <si>
    <t>下限位开关电缆</t>
  </si>
  <si>
    <t>轿厢照明电源电缆</t>
  </si>
  <si>
    <t>风扇电源电缆</t>
  </si>
  <si>
    <t>下行安全钳开关电缆</t>
  </si>
  <si>
    <t>安全窗开关电缆</t>
  </si>
  <si>
    <t>称重装置电源电缆</t>
  </si>
  <si>
    <t>门电机控制电缆</t>
  </si>
  <si>
    <t>门电机电源电缆</t>
  </si>
  <si>
    <t>应急通讯电源电缆</t>
  </si>
  <si>
    <t>应急通讯电缆</t>
  </si>
  <si>
    <t>轿门锁电缆</t>
  </si>
  <si>
    <t>锁梯开关电缆</t>
  </si>
  <si>
    <t>盘车手轮开关电缆</t>
  </si>
  <si>
    <t>曳引机风扇电源电缆</t>
  </si>
  <si>
    <t>底坑检修门开关电缆</t>
  </si>
  <si>
    <t>补偿装置开关电缆</t>
  </si>
  <si>
    <t>井道安全门电缆</t>
  </si>
  <si>
    <t>导轨油</t>
  </si>
  <si>
    <t>缓冲器安装辅板</t>
  </si>
  <si>
    <t>扎线带</t>
  </si>
  <si>
    <t>井道电缆夹</t>
  </si>
  <si>
    <t>金属软管</t>
  </si>
  <si>
    <t>机房线槽</t>
  </si>
  <si>
    <t>电梯标志</t>
  </si>
  <si>
    <t>高速梯井道线槽组件</t>
  </si>
  <si>
    <t>波纹管</t>
  </si>
  <si>
    <t>包装箱</t>
  </si>
  <si>
    <t>补偿绳张紧重导轨底座组件</t>
    <phoneticPr fontId="13" type="noConversion"/>
  </si>
  <si>
    <t>钢丝绳</t>
    <phoneticPr fontId="13" type="noConversion"/>
  </si>
  <si>
    <t>曳引机</t>
    <phoneticPr fontId="13" type="noConversion"/>
  </si>
  <si>
    <t>中文名称</t>
    <phoneticPr fontId="9" type="noConversion"/>
  </si>
  <si>
    <t>英文名称</t>
    <phoneticPr fontId="9" type="noConversion"/>
  </si>
  <si>
    <t>分隔符</t>
    <phoneticPr fontId="9" type="noConversion"/>
  </si>
  <si>
    <t>参数</t>
    <phoneticPr fontId="9" type="noConversion"/>
  </si>
  <si>
    <t>参数填写规范指引</t>
    <phoneticPr fontId="9" type="noConversion"/>
  </si>
  <si>
    <t>1#</t>
  </si>
  <si>
    <t>01000</t>
  </si>
  <si>
    <t>1#-1</t>
  </si>
  <si>
    <t>01001</t>
  </si>
  <si>
    <t>1#-2</t>
  </si>
  <si>
    <t>01002</t>
  </si>
  <si>
    <t>1#-3</t>
  </si>
  <si>
    <t>01003</t>
  </si>
  <si>
    <t>1#-4</t>
  </si>
  <si>
    <t>01004</t>
  </si>
  <si>
    <t>1#-5</t>
  </si>
  <si>
    <t>01005</t>
  </si>
  <si>
    <t>2#</t>
  </si>
  <si>
    <t>2#-1</t>
  </si>
  <si>
    <t>02001</t>
  </si>
  <si>
    <t>2#-2</t>
  </si>
  <si>
    <t>02002</t>
  </si>
  <si>
    <t>2#-3</t>
  </si>
  <si>
    <t>02003</t>
  </si>
  <si>
    <t>02004</t>
  </si>
  <si>
    <t>2#-5</t>
  </si>
  <si>
    <t>02005</t>
  </si>
  <si>
    <t>2#-6</t>
  </si>
  <si>
    <t>02006</t>
  </si>
  <si>
    <t>2#-7</t>
  </si>
  <si>
    <t>02007</t>
  </si>
  <si>
    <t>2#-8</t>
  </si>
  <si>
    <t>02008</t>
  </si>
  <si>
    <t>2#-9</t>
  </si>
  <si>
    <t>02009</t>
  </si>
  <si>
    <t>2#-10</t>
  </si>
  <si>
    <t>02010</t>
  </si>
  <si>
    <t>3#-1</t>
  </si>
  <si>
    <t>03001</t>
  </si>
  <si>
    <t>3#-2</t>
  </si>
  <si>
    <t>03002</t>
  </si>
  <si>
    <t>3#-3</t>
  </si>
  <si>
    <t>03003</t>
  </si>
  <si>
    <t>3#-4</t>
  </si>
  <si>
    <t>03004</t>
  </si>
  <si>
    <t>3#-5</t>
  </si>
  <si>
    <t>03005</t>
  </si>
  <si>
    <t>3#-6</t>
  </si>
  <si>
    <t>03006</t>
  </si>
  <si>
    <t>3#-7</t>
  </si>
  <si>
    <t>03007</t>
  </si>
  <si>
    <t>3#-8</t>
  </si>
  <si>
    <t>03008</t>
  </si>
  <si>
    <t>3#-9</t>
  </si>
  <si>
    <t>03009</t>
  </si>
  <si>
    <t>3#-10</t>
  </si>
  <si>
    <t>03010</t>
  </si>
  <si>
    <t>3#-11</t>
  </si>
  <si>
    <t>03011</t>
  </si>
  <si>
    <t>3#-12</t>
  </si>
  <si>
    <t>03012</t>
  </si>
  <si>
    <t>3#-13</t>
  </si>
  <si>
    <t>03013</t>
  </si>
  <si>
    <t>3#-14</t>
  </si>
  <si>
    <t>03014</t>
  </si>
  <si>
    <t>3#-15</t>
  </si>
  <si>
    <t>03015</t>
  </si>
  <si>
    <t>4#</t>
  </si>
  <si>
    <t>4#-1</t>
  </si>
  <si>
    <t>04001</t>
  </si>
  <si>
    <t>4#-2</t>
  </si>
  <si>
    <t>04002</t>
  </si>
  <si>
    <t>4#-3</t>
  </si>
  <si>
    <t>04003</t>
  </si>
  <si>
    <t>4#-4</t>
  </si>
  <si>
    <t>04004</t>
  </si>
  <si>
    <t>4#-5</t>
  </si>
  <si>
    <t>04005</t>
  </si>
  <si>
    <t>4#-6</t>
  </si>
  <si>
    <t>04006</t>
  </si>
  <si>
    <t>4#-7</t>
  </si>
  <si>
    <t>04007</t>
  </si>
  <si>
    <t>4#-8</t>
  </si>
  <si>
    <t>04008</t>
  </si>
  <si>
    <t>4#-9</t>
  </si>
  <si>
    <t>04009</t>
  </si>
  <si>
    <t>4#-10</t>
  </si>
  <si>
    <t>04010</t>
  </si>
  <si>
    <t>4#-11</t>
  </si>
  <si>
    <t>04011</t>
  </si>
  <si>
    <t>4#-12</t>
  </si>
  <si>
    <t>04012</t>
  </si>
  <si>
    <t>4#-13</t>
  </si>
  <si>
    <t>04013</t>
  </si>
  <si>
    <t>4#-14</t>
  </si>
  <si>
    <t>04014</t>
  </si>
  <si>
    <t>4#-15</t>
  </si>
  <si>
    <t>04015</t>
  </si>
  <si>
    <t>4#-16</t>
  </si>
  <si>
    <t>04016</t>
  </si>
  <si>
    <t>4#-17</t>
  </si>
  <si>
    <t>04017</t>
  </si>
  <si>
    <t>4#-18</t>
  </si>
  <si>
    <t>04018</t>
  </si>
  <si>
    <t>4#-19</t>
  </si>
  <si>
    <t>04019</t>
  </si>
  <si>
    <t>4#-20</t>
  </si>
  <si>
    <t>04020</t>
  </si>
  <si>
    <t>5#</t>
  </si>
  <si>
    <t>5#-1</t>
  </si>
  <si>
    <t>05001</t>
  </si>
  <si>
    <t>5#-2</t>
  </si>
  <si>
    <t>05002</t>
  </si>
  <si>
    <t>5#-3</t>
  </si>
  <si>
    <t>05003</t>
  </si>
  <si>
    <t>5#-4</t>
  </si>
  <si>
    <t>05004</t>
  </si>
  <si>
    <t>5#-5</t>
  </si>
  <si>
    <t>05005</t>
  </si>
  <si>
    <t>5#-6</t>
  </si>
  <si>
    <t>05006</t>
  </si>
  <si>
    <t>5#-7</t>
  </si>
  <si>
    <t>05007</t>
  </si>
  <si>
    <t>5#-8</t>
  </si>
  <si>
    <t>05008</t>
  </si>
  <si>
    <t>5#-9</t>
  </si>
  <si>
    <t>05009</t>
  </si>
  <si>
    <t>5#-10</t>
  </si>
  <si>
    <t>05010</t>
  </si>
  <si>
    <t>5#-11</t>
  </si>
  <si>
    <t>05011</t>
  </si>
  <si>
    <t>5#-12</t>
  </si>
  <si>
    <t>05012</t>
  </si>
  <si>
    <t>5#-13</t>
  </si>
  <si>
    <t>05013</t>
  </si>
  <si>
    <t>5#-14</t>
  </si>
  <si>
    <t>05014</t>
  </si>
  <si>
    <t>5#-15</t>
  </si>
  <si>
    <t>05015</t>
  </si>
  <si>
    <t>5#-16</t>
  </si>
  <si>
    <t>05016</t>
  </si>
  <si>
    <t>5#-17</t>
  </si>
  <si>
    <t>05017</t>
  </si>
  <si>
    <t>5#-18</t>
  </si>
  <si>
    <t>05018</t>
  </si>
  <si>
    <t>5#-19</t>
  </si>
  <si>
    <t>05019</t>
  </si>
  <si>
    <t>6#</t>
  </si>
  <si>
    <t>6#-1</t>
  </si>
  <si>
    <t>06001</t>
  </si>
  <si>
    <t>6#-2</t>
  </si>
  <si>
    <t>06002</t>
  </si>
  <si>
    <t>6#-3</t>
  </si>
  <si>
    <t>06003</t>
  </si>
  <si>
    <t>6#-4</t>
  </si>
  <si>
    <t>06004</t>
  </si>
  <si>
    <t>6#-5</t>
  </si>
  <si>
    <t>06005</t>
  </si>
  <si>
    <t>6#-6</t>
  </si>
  <si>
    <t>06006</t>
  </si>
  <si>
    <t>6#-7</t>
  </si>
  <si>
    <t>06007</t>
  </si>
  <si>
    <t>6#-8</t>
  </si>
  <si>
    <t>06008</t>
  </si>
  <si>
    <t>6#-9</t>
  </si>
  <si>
    <t>06009</t>
  </si>
  <si>
    <t>6#-10</t>
  </si>
  <si>
    <t>06010</t>
  </si>
  <si>
    <t>08001</t>
  </si>
  <si>
    <t>08002</t>
  </si>
  <si>
    <t>8#-3</t>
  </si>
  <si>
    <t>08003</t>
  </si>
  <si>
    <t>8#-4</t>
  </si>
  <si>
    <t>08004</t>
  </si>
  <si>
    <t>8#-5</t>
  </si>
  <si>
    <t>08005</t>
  </si>
  <si>
    <t>8#-6</t>
  </si>
  <si>
    <t>08006</t>
  </si>
  <si>
    <t>8#-7</t>
  </si>
  <si>
    <t>08007</t>
  </si>
  <si>
    <t>8#-8</t>
  </si>
  <si>
    <t>08008</t>
  </si>
  <si>
    <t>8#-9</t>
  </si>
  <si>
    <t>08009</t>
  </si>
  <si>
    <t>8#-10</t>
  </si>
  <si>
    <t>08010</t>
  </si>
  <si>
    <t>9#-1</t>
  </si>
  <si>
    <t>09002</t>
  </si>
  <si>
    <t>9#-3</t>
  </si>
  <si>
    <t>09003</t>
  </si>
  <si>
    <t>9#-4</t>
  </si>
  <si>
    <t>09004</t>
  </si>
  <si>
    <t>9#-5</t>
  </si>
  <si>
    <t>09005</t>
  </si>
  <si>
    <t>10000</t>
  </si>
  <si>
    <t>10#-1</t>
  </si>
  <si>
    <t>10001</t>
  </si>
  <si>
    <t>10#-2</t>
  </si>
  <si>
    <t>10002</t>
  </si>
  <si>
    <t>10#-3</t>
  </si>
  <si>
    <t>10003</t>
  </si>
  <si>
    <t>11000</t>
  </si>
  <si>
    <t>11001</t>
  </si>
  <si>
    <t>11#-2</t>
  </si>
  <si>
    <t>11002</t>
  </si>
  <si>
    <t>11#-3</t>
  </si>
  <si>
    <t>11003</t>
  </si>
  <si>
    <t>11#-4</t>
  </si>
  <si>
    <t>11004</t>
  </si>
  <si>
    <t>11#-5</t>
  </si>
  <si>
    <t>11005</t>
  </si>
  <si>
    <t>12#</t>
  </si>
  <si>
    <t>12000</t>
  </si>
  <si>
    <t>12#-1</t>
  </si>
  <si>
    <t>12001</t>
  </si>
  <si>
    <t>12#-2</t>
  </si>
  <si>
    <t>12002</t>
  </si>
  <si>
    <t>13#</t>
  </si>
  <si>
    <t>13000</t>
  </si>
  <si>
    <t>13#-1</t>
  </si>
  <si>
    <t>13001</t>
  </si>
  <si>
    <t>13#-2</t>
  </si>
  <si>
    <t>13002</t>
  </si>
  <si>
    <t>14#</t>
  </si>
  <si>
    <t>14000</t>
  </si>
  <si>
    <t>14#-1</t>
  </si>
  <si>
    <t>14001</t>
  </si>
  <si>
    <t>14#-2</t>
  </si>
  <si>
    <t>14002</t>
  </si>
  <si>
    <t>14#-3</t>
  </si>
  <si>
    <t>14003</t>
  </si>
  <si>
    <t>14#-4</t>
  </si>
  <si>
    <t>14004</t>
  </si>
  <si>
    <t>14#-5</t>
  </si>
  <si>
    <t>14005</t>
  </si>
  <si>
    <t>14#-6</t>
  </si>
  <si>
    <t>14006</t>
  </si>
  <si>
    <t>14#-7</t>
  </si>
  <si>
    <t>14007</t>
  </si>
  <si>
    <t>14#-8</t>
  </si>
  <si>
    <t>14008</t>
  </si>
  <si>
    <t>14#-9</t>
  </si>
  <si>
    <t>14009</t>
  </si>
  <si>
    <t>15#</t>
  </si>
  <si>
    <t>15000</t>
  </si>
  <si>
    <t>15#-1</t>
  </si>
  <si>
    <t>15001</t>
  </si>
  <si>
    <t>15#-2</t>
  </si>
  <si>
    <t>15002</t>
  </si>
  <si>
    <t>15#-3</t>
  </si>
  <si>
    <t>15003</t>
  </si>
  <si>
    <t>15#-4</t>
  </si>
  <si>
    <t>15004</t>
  </si>
  <si>
    <t>15#-5</t>
  </si>
  <si>
    <t>15005</t>
  </si>
  <si>
    <t>15#-6</t>
  </si>
  <si>
    <t>15006</t>
  </si>
  <si>
    <t>15#-7</t>
  </si>
  <si>
    <t>15007</t>
  </si>
  <si>
    <t>15#-8</t>
  </si>
  <si>
    <t>15008</t>
  </si>
  <si>
    <t>15#-9</t>
  </si>
  <si>
    <t>15009</t>
  </si>
  <si>
    <t>15#-10</t>
  </si>
  <si>
    <t>15010</t>
  </si>
  <si>
    <t>16#</t>
  </si>
  <si>
    <t>16000</t>
  </si>
  <si>
    <t>16#-1</t>
  </si>
  <si>
    <t>16001</t>
  </si>
  <si>
    <t>16#-2</t>
  </si>
  <si>
    <t>16002</t>
  </si>
  <si>
    <t>17#</t>
  </si>
  <si>
    <t>17000</t>
  </si>
  <si>
    <t>17#-1</t>
  </si>
  <si>
    <t>17001</t>
  </si>
  <si>
    <t>17#-2</t>
  </si>
  <si>
    <t>17002</t>
  </si>
  <si>
    <t>17#-3</t>
  </si>
  <si>
    <t>17003</t>
  </si>
  <si>
    <t>17#-4</t>
  </si>
  <si>
    <t>17004</t>
  </si>
  <si>
    <t>曳引机</t>
  </si>
  <si>
    <t>垫片</t>
  </si>
  <si>
    <t>挡绳板</t>
  </si>
  <si>
    <t>连接板</t>
  </si>
  <si>
    <t>挡板</t>
  </si>
  <si>
    <t>限速器</t>
  </si>
  <si>
    <t>补偿装置</t>
  </si>
  <si>
    <t>补偿绳</t>
  </si>
  <si>
    <t>滚动导靴</t>
  </si>
  <si>
    <t>油杯</t>
  </si>
  <si>
    <t>安全钳(中山进口)</t>
  </si>
  <si>
    <t>轿壁装饰板</t>
  </si>
  <si>
    <t>厅门门楣组件</t>
  </si>
  <si>
    <t>门楣板</t>
  </si>
  <si>
    <t>门楣装饰板</t>
  </si>
  <si>
    <t>钢化玻璃</t>
  </si>
  <si>
    <t>夹胶玻璃</t>
  </si>
  <si>
    <t>灯</t>
  </si>
  <si>
    <t>踢脚板</t>
  </si>
  <si>
    <t>地板装饰层</t>
  </si>
  <si>
    <t>绳轮</t>
  </si>
  <si>
    <t>绳轮组件</t>
  </si>
  <si>
    <t>大门套</t>
  </si>
  <si>
    <t>油压缓冲器</t>
  </si>
  <si>
    <t>聚氨酯缓冲器</t>
  </si>
  <si>
    <t>缓冲器支架</t>
  </si>
  <si>
    <t>导轨连接板</t>
  </si>
  <si>
    <t>锚栓</t>
  </si>
  <si>
    <t>导轨压板</t>
  </si>
  <si>
    <t>导线</t>
  </si>
  <si>
    <t>电缆</t>
  </si>
  <si>
    <t>二极管</t>
  </si>
  <si>
    <t>场效应管</t>
  </si>
  <si>
    <t>极限开关</t>
  </si>
  <si>
    <t>变频器</t>
  </si>
  <si>
    <t>对讲系统</t>
  </si>
  <si>
    <t>限速器铭牌</t>
  </si>
  <si>
    <t>安全钳铭牌</t>
  </si>
  <si>
    <t>控制柜铭牌</t>
  </si>
  <si>
    <t>阻容吸收器</t>
  </si>
  <si>
    <t>粘合胶</t>
  </si>
  <si>
    <t>控制柜柜体</t>
  </si>
  <si>
    <t>接地铜排</t>
  </si>
  <si>
    <t>轿厢显示箱</t>
  </si>
  <si>
    <t>蒂森标志</t>
  </si>
  <si>
    <t>弹簧</t>
  </si>
  <si>
    <t>六角头螺栓</t>
  </si>
  <si>
    <t>双头螺柱</t>
  </si>
  <si>
    <t>内六角螺钉</t>
  </si>
  <si>
    <t>六角螺母</t>
  </si>
  <si>
    <t>平垫圈</t>
  </si>
  <si>
    <t>弹簧垫圈</t>
  </si>
  <si>
    <t>孔用弹性挡圈</t>
  </si>
  <si>
    <t>轴用弹性挡圈</t>
  </si>
  <si>
    <t>无头销轴</t>
  </si>
  <si>
    <t>抽芯铆钉</t>
  </si>
  <si>
    <t>深沟球轴承</t>
  </si>
  <si>
    <t>热轧钢板</t>
  </si>
  <si>
    <t>冷轧钢板</t>
  </si>
  <si>
    <t>橡胶</t>
  </si>
  <si>
    <t>胶粘剂</t>
  </si>
  <si>
    <t>密封胶</t>
  </si>
  <si>
    <t>等边角钢</t>
  </si>
  <si>
    <t>不等边角钢</t>
  </si>
  <si>
    <t>热轧槽钢</t>
  </si>
  <si>
    <t>导向轮支架</t>
  </si>
  <si>
    <t>导向轮支架组件</t>
  </si>
  <si>
    <t>导向轮</t>
  </si>
  <si>
    <t>扣紧螺母</t>
  </si>
  <si>
    <t>方斜垫圈</t>
  </si>
  <si>
    <t>轴套</t>
  </si>
  <si>
    <t>自由绝缘保护套</t>
  </si>
  <si>
    <t>Z型橡胶密封圈</t>
  </si>
  <si>
    <t>螺塞用密封垫圈</t>
  </si>
  <si>
    <t>丁腈橡胶</t>
  </si>
  <si>
    <t>紫铜</t>
  </si>
  <si>
    <t>透光板</t>
  </si>
  <si>
    <t>安装座</t>
  </si>
  <si>
    <t>透光板组件</t>
  </si>
  <si>
    <t>导风板</t>
  </si>
  <si>
    <t>吊顶框架</t>
  </si>
  <si>
    <t>挂板</t>
  </si>
  <si>
    <t>挂板组件</t>
  </si>
  <si>
    <t>减震垫</t>
  </si>
  <si>
    <t>轿顶焊接件</t>
  </si>
  <si>
    <t>轿底焊接件</t>
  </si>
  <si>
    <t>圆木</t>
  </si>
  <si>
    <t>扶手座</t>
  </si>
  <si>
    <t>钢管</t>
  </si>
  <si>
    <t>轿顶线槽</t>
  </si>
  <si>
    <t>吊顶面板</t>
  </si>
  <si>
    <t>吊顶支架</t>
  </si>
  <si>
    <t>轿顶板</t>
  </si>
  <si>
    <t>吊顶边框</t>
  </si>
  <si>
    <t>嵌条</t>
  </si>
  <si>
    <t>镜框</t>
  </si>
  <si>
    <t>镜框组件</t>
  </si>
  <si>
    <t>扶手端头</t>
  </si>
  <si>
    <t>加强板</t>
  </si>
  <si>
    <t>螺杆</t>
  </si>
  <si>
    <t>限位件</t>
  </si>
  <si>
    <t>过线保护</t>
  </si>
  <si>
    <t>框架纵梁</t>
  </si>
  <si>
    <t>大垫圈</t>
  </si>
  <si>
    <t>焊接六角螺母</t>
  </si>
  <si>
    <t>紧定螺钉</t>
  </si>
  <si>
    <t>沉头螺钉</t>
  </si>
  <si>
    <t>隔音橡胶</t>
  </si>
  <si>
    <t>吊顶面板组件</t>
  </si>
  <si>
    <t>自攻螺钉</t>
  </si>
  <si>
    <t>连接螺栓</t>
  </si>
  <si>
    <t>固定支架</t>
  </si>
  <si>
    <t>护栏支架</t>
  </si>
  <si>
    <t>平键</t>
  </si>
  <si>
    <t>球面滚子轴承</t>
  </si>
  <si>
    <t>上行保护装置铭牌</t>
  </si>
  <si>
    <t>连接杆</t>
  </si>
  <si>
    <t>方颈螺栓</t>
  </si>
  <si>
    <t>铰链</t>
  </si>
  <si>
    <t>盘头螺钉</t>
  </si>
  <si>
    <t>安全窗</t>
  </si>
  <si>
    <t>盖板</t>
  </si>
  <si>
    <t>盖板组件</t>
  </si>
  <si>
    <t>安全开关组件</t>
  </si>
  <si>
    <t>锁紧垫圈</t>
  </si>
  <si>
    <t>制动器</t>
  </si>
  <si>
    <t>制动片</t>
  </si>
  <si>
    <t>制动臂</t>
  </si>
  <si>
    <t>机座</t>
  </si>
  <si>
    <t>线盒盖</t>
  </si>
  <si>
    <t>前端外压盖</t>
  </si>
  <si>
    <t>制动臂销轴</t>
  </si>
  <si>
    <t>后端盖</t>
  </si>
  <si>
    <t>接线标识</t>
  </si>
  <si>
    <t>编码器罩</t>
  </si>
  <si>
    <t>转子</t>
  </si>
  <si>
    <t>磁钢</t>
  </si>
  <si>
    <t>定子组件</t>
  </si>
  <si>
    <t>护套</t>
  </si>
  <si>
    <t>过线管</t>
  </si>
  <si>
    <t>曳引轮组件</t>
  </si>
  <si>
    <t>制动轮</t>
  </si>
  <si>
    <t>编码器座</t>
  </si>
  <si>
    <t>前端内压盖</t>
  </si>
  <si>
    <t>曳引轮挡板</t>
  </si>
  <si>
    <t>止动环</t>
  </si>
  <si>
    <t>转子压板</t>
  </si>
  <si>
    <t>转子片</t>
  </si>
  <si>
    <t>定子片</t>
  </si>
  <si>
    <t>定子</t>
  </si>
  <si>
    <t>定子铁芯</t>
  </si>
  <si>
    <t>定子压板</t>
  </si>
  <si>
    <t>定子端板</t>
  </si>
  <si>
    <t>定子线圈</t>
  </si>
  <si>
    <t>调整螺栓</t>
  </si>
  <si>
    <t>制动臂组件</t>
  </si>
  <si>
    <t>电磁铁组件</t>
  </si>
  <si>
    <t>制动器壳体</t>
  </si>
  <si>
    <t>衔铁</t>
  </si>
  <si>
    <t>铁心</t>
  </si>
  <si>
    <t>推杆</t>
  </si>
  <si>
    <t>释放轴</t>
  </si>
  <si>
    <t>释放杆</t>
  </si>
  <si>
    <t>手柄球</t>
  </si>
  <si>
    <t>消音衬垫</t>
  </si>
  <si>
    <t>线圈</t>
  </si>
  <si>
    <t>制动弹簧垫圈</t>
  </si>
  <si>
    <t>拉杆</t>
  </si>
  <si>
    <t>释放操作说明</t>
  </si>
  <si>
    <t>自润滑轴承</t>
  </si>
  <si>
    <t>屏蔽金属电缆夹头</t>
  </si>
  <si>
    <t>尼龙闷盖</t>
  </si>
  <si>
    <t>微动开关</t>
  </si>
  <si>
    <t>微动开关外壳</t>
  </si>
  <si>
    <t>盘车手轮</t>
  </si>
  <si>
    <t>减震垫底板</t>
  </si>
  <si>
    <t>支撑板</t>
  </si>
  <si>
    <t>支撑块</t>
  </si>
  <si>
    <t>绳头板组件</t>
  </si>
  <si>
    <t>绳头板</t>
  </si>
  <si>
    <t>挡绳组件</t>
  </si>
  <si>
    <t>夹绳器</t>
  </si>
  <si>
    <t>观光轿壁</t>
  </si>
  <si>
    <t>玻璃嵌条</t>
  </si>
  <si>
    <t>封头组件</t>
  </si>
  <si>
    <t>轿顶护脚板</t>
  </si>
  <si>
    <t>轿顶加强筋</t>
  </si>
  <si>
    <t>轿顶电缆夹</t>
  </si>
  <si>
    <t>轿顶风扇座</t>
  </si>
  <si>
    <t>吊顶嵌条</t>
  </si>
  <si>
    <t>导风管组件</t>
  </si>
  <si>
    <t>防护栏杆</t>
  </si>
  <si>
    <t>轿厢扶手</t>
  </si>
  <si>
    <t>镜子</t>
  </si>
  <si>
    <t>上梁端板组件</t>
  </si>
  <si>
    <t>上梁端板</t>
  </si>
  <si>
    <t>安全钳提拉装置</t>
  </si>
  <si>
    <t>限位开关打环</t>
  </si>
  <si>
    <t>转动杆组件</t>
  </si>
  <si>
    <t>转动杆</t>
  </si>
  <si>
    <t>传动杆</t>
  </si>
  <si>
    <t>弹簧拉钩</t>
  </si>
  <si>
    <t>限速器绳连结板</t>
  </si>
  <si>
    <t>框架横梁</t>
  </si>
  <si>
    <t>框架肋板</t>
  </si>
  <si>
    <t>缓冲器撞板</t>
  </si>
  <si>
    <t>轿架立柱座</t>
  </si>
  <si>
    <t>安全钳拉杆</t>
  </si>
  <si>
    <t>对重框架立柱</t>
  </si>
  <si>
    <t>对重框架上连接板</t>
  </si>
  <si>
    <t>对重框架托梁</t>
  </si>
  <si>
    <t>调节座</t>
  </si>
  <si>
    <t>对重块压板</t>
  </si>
  <si>
    <t>定位卡板</t>
  </si>
  <si>
    <t>挡绳杆</t>
  </si>
  <si>
    <t>对重防护栏框架</t>
  </si>
  <si>
    <t>对重防护网</t>
  </si>
  <si>
    <t>门套左立柱</t>
  </si>
  <si>
    <t>门套右立柱</t>
  </si>
  <si>
    <t>左立柱底板</t>
  </si>
  <si>
    <t>右立柱底板</t>
  </si>
  <si>
    <t>随行电缆支架</t>
  </si>
  <si>
    <t>防锈漆</t>
  </si>
  <si>
    <t>井道安全隔离网</t>
  </si>
  <si>
    <t>支架</t>
  </si>
  <si>
    <t>加强筋</t>
  </si>
  <si>
    <t>警示标志</t>
  </si>
  <si>
    <t>小垫圈</t>
  </si>
  <si>
    <t>安全窗锁</t>
  </si>
  <si>
    <t>编码器支架</t>
  </si>
  <si>
    <t>轿顶型材</t>
  </si>
  <si>
    <t>窗锁支架</t>
  </si>
  <si>
    <t>开口销</t>
  </si>
  <si>
    <t>随行电缆夹</t>
  </si>
  <si>
    <t>轿门护脚板</t>
  </si>
  <si>
    <t>防护罩座</t>
  </si>
  <si>
    <t>横杆</t>
  </si>
  <si>
    <t>侧板</t>
  </si>
  <si>
    <t>防尘板</t>
  </si>
  <si>
    <t>右挡板</t>
  </si>
  <si>
    <t>左挡板</t>
  </si>
  <si>
    <t>弯板</t>
  </si>
  <si>
    <t>安全防护板</t>
  </si>
  <si>
    <t>制动弹簧</t>
  </si>
  <si>
    <t>电磁铁铭牌</t>
  </si>
  <si>
    <t>沉头铆钉</t>
  </si>
  <si>
    <t>弹性圆柱销</t>
  </si>
  <si>
    <t>U型螺栓组件</t>
  </si>
  <si>
    <t>U型螺栓</t>
  </si>
  <si>
    <t>固定板</t>
  </si>
  <si>
    <t>垫板</t>
  </si>
  <si>
    <t>楔套</t>
  </si>
  <si>
    <t>楔</t>
  </si>
  <si>
    <t>连接轴</t>
  </si>
  <si>
    <t>尼龙垫圈</t>
  </si>
  <si>
    <t>挡环</t>
  </si>
  <si>
    <t>底板</t>
  </si>
  <si>
    <t>固定杆</t>
  </si>
  <si>
    <t>提拉机构</t>
  </si>
  <si>
    <t>下梁槽钢</t>
  </si>
  <si>
    <t>连杆转板</t>
  </si>
  <si>
    <t>端板组件</t>
  </si>
  <si>
    <t>端板</t>
  </si>
  <si>
    <t>导向装置</t>
  </si>
  <si>
    <t>轿底板</t>
  </si>
  <si>
    <t>滚花螺钉</t>
  </si>
  <si>
    <t>销栓</t>
  </si>
  <si>
    <t>支撑槽钢</t>
  </si>
  <si>
    <t>上连接板</t>
  </si>
  <si>
    <t>下连接板</t>
  </si>
  <si>
    <t>左连接板</t>
  </si>
  <si>
    <t>右连接板</t>
  </si>
  <si>
    <t>垫圈</t>
  </si>
  <si>
    <t>传感器支架</t>
  </si>
  <si>
    <t>对重框架</t>
  </si>
  <si>
    <t>靴衬</t>
  </si>
  <si>
    <t>右立柱装饰板</t>
  </si>
  <si>
    <t>左立柱装饰板</t>
  </si>
  <si>
    <t>插片螺母</t>
  </si>
  <si>
    <t>插销</t>
  </si>
  <si>
    <t>上梁</t>
  </si>
  <si>
    <t>前轿底板</t>
  </si>
  <si>
    <t>后轿底板</t>
  </si>
  <si>
    <t>限速器梁</t>
  </si>
  <si>
    <t>限速器梁组件</t>
  </si>
  <si>
    <t>木块</t>
  </si>
  <si>
    <t>观光轿壁边框</t>
  </si>
  <si>
    <t>观光轿壁底框</t>
  </si>
  <si>
    <t>销</t>
  </si>
  <si>
    <t>提拉装置绳头连接</t>
  </si>
  <si>
    <t>活节螺栓</t>
  </si>
  <si>
    <t>提拉杆连接座</t>
  </si>
  <si>
    <t>六角薄螺母</t>
  </si>
  <si>
    <t>电阻</t>
  </si>
  <si>
    <t>接触器</t>
  </si>
  <si>
    <t>断路器</t>
  </si>
  <si>
    <t>继电器</t>
  </si>
  <si>
    <t>电容器</t>
  </si>
  <si>
    <t>电抗器</t>
  </si>
  <si>
    <t>插座</t>
  </si>
  <si>
    <t>集成电路</t>
  </si>
  <si>
    <t>熔断器</t>
  </si>
  <si>
    <t>熔断体</t>
  </si>
  <si>
    <t>圆形预绝缘端头</t>
  </si>
  <si>
    <t>圆形裸端头</t>
  </si>
  <si>
    <t>管形预绝缘端头</t>
  </si>
  <si>
    <t>叉形预绝缘端头</t>
  </si>
  <si>
    <t>母绝缘接头</t>
  </si>
  <si>
    <t>滤波器</t>
  </si>
  <si>
    <t>整流器</t>
  </si>
  <si>
    <t>变压器</t>
  </si>
  <si>
    <t>相位保护继电器</t>
  </si>
  <si>
    <t>解码器</t>
  </si>
  <si>
    <t>读卡器</t>
  </si>
  <si>
    <t>厅门</t>
  </si>
  <si>
    <t>轿门</t>
  </si>
  <si>
    <t>热轧H型钢</t>
  </si>
  <si>
    <t>O型橡胶密封圈</t>
  </si>
  <si>
    <t>扬声器</t>
  </si>
  <si>
    <t>开关电源</t>
  </si>
  <si>
    <t>不间断电源</t>
  </si>
  <si>
    <t>应急电源</t>
  </si>
  <si>
    <t>镜面不锈钢板</t>
  </si>
  <si>
    <t>镀锌钢板</t>
  </si>
  <si>
    <t>电解镀锌板</t>
  </si>
  <si>
    <t>端子标签</t>
  </si>
  <si>
    <t>接线盒</t>
  </si>
  <si>
    <t>线槽</t>
  </si>
  <si>
    <t>选择开关</t>
  </si>
  <si>
    <t>带轮组件</t>
  </si>
  <si>
    <t>带轮</t>
  </si>
  <si>
    <t>压绳板</t>
  </si>
  <si>
    <t>门机安装支架</t>
  </si>
  <si>
    <t>门导靴</t>
  </si>
  <si>
    <t>轿门地坎托架</t>
  </si>
  <si>
    <t>地坎托板</t>
  </si>
  <si>
    <t>三角锁组件</t>
  </si>
  <si>
    <t>三角钥匙</t>
  </si>
  <si>
    <t>压敏电阻</t>
  </si>
  <si>
    <t>销轴</t>
  </si>
  <si>
    <t>橡胶垫</t>
  </si>
  <si>
    <t>线槽支架</t>
  </si>
  <si>
    <t>散热片</t>
  </si>
  <si>
    <t>诊断仪</t>
  </si>
  <si>
    <t>消防报警装置</t>
  </si>
  <si>
    <t>磨砂玻璃</t>
  </si>
  <si>
    <t>消防开关</t>
  </si>
  <si>
    <t>盒底</t>
  </si>
  <si>
    <t>线槽接头</t>
  </si>
  <si>
    <t>木螺钉</t>
  </si>
  <si>
    <t>热缩管</t>
  </si>
  <si>
    <t>塑料胀管</t>
  </si>
  <si>
    <t>按钮板</t>
  </si>
  <si>
    <t>控制柜底座</t>
  </si>
  <si>
    <t>控制柜后盖板</t>
  </si>
  <si>
    <t>电阻箱</t>
  </si>
  <si>
    <t>电阻箱组件</t>
  </si>
  <si>
    <t>电阻箱盖板</t>
  </si>
  <si>
    <t>元器件安装组件</t>
  </si>
  <si>
    <t>隔板</t>
  </si>
  <si>
    <t>控制柜左门板</t>
  </si>
  <si>
    <t>控制柜右门板</t>
  </si>
  <si>
    <t>控制柜左门板组件</t>
  </si>
  <si>
    <t>控制柜右门板组件</t>
  </si>
  <si>
    <t>插簧护套</t>
  </si>
  <si>
    <t>防水盒</t>
  </si>
  <si>
    <t>防水盒垫</t>
  </si>
  <si>
    <t>插座面板</t>
  </si>
  <si>
    <t>灯罩</t>
  </si>
  <si>
    <t>灯座</t>
  </si>
  <si>
    <t>端子固定座</t>
  </si>
  <si>
    <t>端子隔板</t>
  </si>
  <si>
    <t>防插错编码销</t>
  </si>
  <si>
    <t>短接片</t>
  </si>
  <si>
    <t>上护脚板</t>
  </si>
  <si>
    <t>主COP-轿顶通讯电缆</t>
  </si>
  <si>
    <t>卡轨</t>
  </si>
  <si>
    <t>端子颜色说明</t>
  </si>
  <si>
    <t>叶片支架</t>
  </si>
  <si>
    <t>消防继电器板电源电缆</t>
  </si>
  <si>
    <t>消防及超载报警电缆</t>
  </si>
  <si>
    <t>变频器柜体</t>
  </si>
  <si>
    <t>主板</t>
  </si>
  <si>
    <t>CPI-主板通讯电缆</t>
  </si>
  <si>
    <t>曳引机照明灯电缆</t>
  </si>
  <si>
    <t>插针</t>
  </si>
  <si>
    <t>轿厢限速器控制电缆</t>
  </si>
  <si>
    <t>齿轮箱</t>
  </si>
  <si>
    <t>极限开关支架</t>
  </si>
  <si>
    <t>电机</t>
  </si>
  <si>
    <t>撞弓</t>
  </si>
  <si>
    <t>撞弓支架</t>
  </si>
  <si>
    <t>光电开关</t>
  </si>
  <si>
    <t>轿顶感应组件</t>
  </si>
  <si>
    <t>箱体组件</t>
  </si>
  <si>
    <t>套管</t>
  </si>
  <si>
    <t>接插件</t>
  </si>
  <si>
    <t>接插件端盖</t>
  </si>
  <si>
    <t>面板</t>
  </si>
  <si>
    <t>按钮头</t>
  </si>
  <si>
    <t>标签</t>
  </si>
  <si>
    <t>辅助触点</t>
  </si>
  <si>
    <t>紧固件组合</t>
  </si>
  <si>
    <t>六角法兰面螺母</t>
  </si>
  <si>
    <t>铆螺母</t>
  </si>
  <si>
    <t>外召附加电源电缆</t>
  </si>
  <si>
    <t>球型节</t>
  </si>
  <si>
    <t>球型衬</t>
  </si>
  <si>
    <t>压板</t>
  </si>
  <si>
    <t>绳轮支撑板</t>
  </si>
  <si>
    <t>开关支架</t>
  </si>
  <si>
    <t>磁开关</t>
  </si>
  <si>
    <t>磁开关支架</t>
  </si>
  <si>
    <t>管形裸端头</t>
  </si>
  <si>
    <t>厅门左门</t>
  </si>
  <si>
    <t>厅门右门</t>
  </si>
  <si>
    <t>装饰板</t>
  </si>
  <si>
    <t>螺栓焊接件</t>
  </si>
  <si>
    <t>防尘罩</t>
  </si>
  <si>
    <t>厅门安装支架</t>
  </si>
  <si>
    <t>立柱安装支架</t>
  </si>
  <si>
    <t>调整支架</t>
  </si>
  <si>
    <t>防撞橡胶</t>
  </si>
  <si>
    <t>限位开关</t>
  </si>
  <si>
    <t>外召电源电缆分支</t>
  </si>
  <si>
    <t>外召通讯电缆分支</t>
  </si>
  <si>
    <t>厅门锁电缆分支</t>
  </si>
  <si>
    <t>基站</t>
  </si>
  <si>
    <t>警铃</t>
  </si>
  <si>
    <t>主机安装工具</t>
  </si>
  <si>
    <t>吊挂梁</t>
  </si>
  <si>
    <t>电缆标签</t>
  </si>
  <si>
    <t>上行安全钳开关电缆</t>
  </si>
  <si>
    <t>轿顶-主COP电源及控制电缆</t>
  </si>
  <si>
    <t>轿顶-副COP电源及控制电缆</t>
  </si>
  <si>
    <t>轿顶-主COP通讯电缆</t>
  </si>
  <si>
    <t>轿顶-副COP通讯电缆</t>
  </si>
  <si>
    <t>称重装置-COP通讯电缆</t>
  </si>
  <si>
    <t>COP内部通讯电缆</t>
  </si>
  <si>
    <t>应急通讯控制电缆</t>
  </si>
  <si>
    <t>开门按钮电缆</t>
  </si>
  <si>
    <t>关门按钮电缆</t>
  </si>
  <si>
    <t>层选按钮电缆</t>
  </si>
  <si>
    <t>COP到站钟电缆</t>
  </si>
  <si>
    <t>对讲按钮电缆</t>
  </si>
  <si>
    <t>VIP钥匙开关电缆</t>
  </si>
  <si>
    <t>司机钥匙开关电缆</t>
  </si>
  <si>
    <t>司机按钮电缆</t>
  </si>
  <si>
    <t>COP读卡器电源电缆</t>
  </si>
  <si>
    <t>VIP读卡器电缆</t>
  </si>
  <si>
    <t>司机读卡器电缆</t>
  </si>
  <si>
    <t>COP显示电缆</t>
  </si>
  <si>
    <t>控制柜门锁</t>
  </si>
  <si>
    <t>计数器</t>
  </si>
  <si>
    <t>记时器</t>
  </si>
  <si>
    <t>记时计数器</t>
  </si>
  <si>
    <t>接地铜排组件</t>
  </si>
  <si>
    <t>接插件支架</t>
  </si>
  <si>
    <t>继电器底座</t>
  </si>
  <si>
    <t>主板支架</t>
  </si>
  <si>
    <t>绝缘垫板</t>
  </si>
  <si>
    <t>开关电源支架</t>
  </si>
  <si>
    <t>抱闸控制器</t>
  </si>
  <si>
    <t>钢膨胀螺母</t>
  </si>
  <si>
    <t>钥匙开关</t>
  </si>
  <si>
    <t>控制柜门板</t>
  </si>
  <si>
    <t>控制柜框架</t>
  </si>
  <si>
    <t>左限位板</t>
  </si>
  <si>
    <t>右限位板</t>
  </si>
  <si>
    <t>上限位板</t>
  </si>
  <si>
    <t>门锁支架</t>
  </si>
  <si>
    <t>控制柜底盒</t>
  </si>
  <si>
    <t>衬板</t>
  </si>
  <si>
    <t>控制柜门板组件</t>
  </si>
  <si>
    <t>乘客救援流程图</t>
  </si>
  <si>
    <t>限速器松闸装置</t>
  </si>
  <si>
    <t>变频器柜体底盒</t>
  </si>
  <si>
    <t>编码器</t>
  </si>
  <si>
    <t>显示窗</t>
  </si>
  <si>
    <t>固定条</t>
  </si>
  <si>
    <t>固定座</t>
  </si>
  <si>
    <t>防尘布</t>
  </si>
  <si>
    <t>消防继电器板</t>
  </si>
  <si>
    <t>限速器支架</t>
  </si>
  <si>
    <t>连接型材</t>
  </si>
  <si>
    <t>连接型材组件</t>
  </si>
  <si>
    <t>左置机房单元</t>
  </si>
  <si>
    <t>右置机房单元</t>
  </si>
  <si>
    <t>钢板网</t>
  </si>
  <si>
    <t>指示灯</t>
  </si>
  <si>
    <t>触发磁铁</t>
  </si>
  <si>
    <t>预绝缘插套</t>
  </si>
  <si>
    <t>热轧工字钢</t>
  </si>
  <si>
    <t>接地线</t>
  </si>
  <si>
    <t>夹紧块</t>
  </si>
  <si>
    <t>手柄</t>
  </si>
  <si>
    <t>盘车装置</t>
  </si>
  <si>
    <t>索具螺旋扣</t>
  </si>
  <si>
    <t>滚轮和底板组件</t>
  </si>
  <si>
    <t>电抗器组件</t>
  </si>
  <si>
    <t>防水接头</t>
  </si>
  <si>
    <t>轿厢围壁</t>
  </si>
  <si>
    <t>触点开关</t>
  </si>
  <si>
    <t>对重限速器线圈电缆</t>
  </si>
  <si>
    <t>整体式操纵箱</t>
  </si>
  <si>
    <t>整体式操纵箱面板</t>
  </si>
  <si>
    <t>井道照明电缆分支</t>
  </si>
  <si>
    <t>井道照明开关</t>
  </si>
  <si>
    <t>油杯盖</t>
  </si>
  <si>
    <t>吸油毛毡组件</t>
  </si>
  <si>
    <t>吸油条</t>
  </si>
  <si>
    <t>电磁兼容电缆接头</t>
  </si>
  <si>
    <t>残疾人操纵箱</t>
  </si>
  <si>
    <t>残疾人操纵箱盒体组件</t>
  </si>
  <si>
    <t>轿厢操纵箱盒体</t>
  </si>
  <si>
    <t>轿厢操纵箱盒体组件</t>
  </si>
  <si>
    <t>压绳器</t>
  </si>
  <si>
    <t>副轿厢操纵箱</t>
  </si>
  <si>
    <t>聚氨酯</t>
  </si>
  <si>
    <t>灰铸铁</t>
  </si>
  <si>
    <t>聚四氟乙烯</t>
  </si>
  <si>
    <t>尼龙</t>
  </si>
  <si>
    <t>橡胶板</t>
  </si>
  <si>
    <t>圆钢</t>
  </si>
  <si>
    <t>厅门挂板组件</t>
  </si>
  <si>
    <t>轿门挂板组件</t>
  </si>
  <si>
    <t>轿厢减震装置</t>
  </si>
  <si>
    <t>单耳止动垫圈</t>
  </si>
  <si>
    <t>门封条</t>
  </si>
  <si>
    <t>复位弹簧</t>
  </si>
  <si>
    <t>爬梯扶手</t>
  </si>
  <si>
    <t>编码器电缆</t>
  </si>
  <si>
    <t>变频器壳体</t>
  </si>
  <si>
    <t xml:space="preserve">门导轨除尘装置 </t>
  </si>
  <si>
    <t xml:space="preserve">除尘毛毡 </t>
  </si>
  <si>
    <t>导热硅脂</t>
  </si>
  <si>
    <t>变频器调试电缆</t>
  </si>
  <si>
    <t>底坑辅助检修箱</t>
  </si>
  <si>
    <t>底坑辅助检修箱电缆</t>
  </si>
  <si>
    <t>铆接件</t>
  </si>
  <si>
    <t>直流接触器控制装置</t>
  </si>
  <si>
    <t>机房消音组件</t>
  </si>
  <si>
    <t>防烫标识</t>
  </si>
  <si>
    <t>缓冲器辅助支撑架</t>
  </si>
  <si>
    <t>电路板电源电缆</t>
  </si>
  <si>
    <t>电路板通讯电缆</t>
  </si>
  <si>
    <t>接插件线束</t>
  </si>
  <si>
    <t>对接端头</t>
  </si>
  <si>
    <t>井道强电电缆组件</t>
  </si>
  <si>
    <t>井道弱电电缆组件</t>
  </si>
  <si>
    <t>焊接件</t>
  </si>
  <si>
    <t>召唤显示箱盒体</t>
  </si>
  <si>
    <t>召唤箱盒体</t>
  </si>
  <si>
    <t>橡胶防尘密封圈</t>
  </si>
  <si>
    <t>MC3-LCD通讯电缆</t>
  </si>
  <si>
    <t>MC3-LCD电源电缆</t>
  </si>
  <si>
    <t>MC3-RJ45通讯电缆</t>
  </si>
  <si>
    <t>门机通讯电缆</t>
  </si>
  <si>
    <t>光幕信号电缆</t>
  </si>
  <si>
    <t>绳轮防护组件</t>
  </si>
  <si>
    <t>短接线</t>
  </si>
  <si>
    <t>轿厢照明控制电缆</t>
  </si>
  <si>
    <t>编码器加长电缆</t>
  </si>
  <si>
    <t>圆柱滚子轴承</t>
  </si>
  <si>
    <t>无缝钢管</t>
  </si>
  <si>
    <t>接插件外壳</t>
  </si>
  <si>
    <t>机房线槽平弯头</t>
  </si>
  <si>
    <t>机房线槽直弯头</t>
  </si>
  <si>
    <t>滚针和保持架组件</t>
  </si>
  <si>
    <t>连接螺母</t>
  </si>
  <si>
    <t>提拉杆</t>
  </si>
  <si>
    <t>板簧</t>
  </si>
  <si>
    <t>板簧组件</t>
  </si>
  <si>
    <t>导向块</t>
  </si>
  <si>
    <t>顶板</t>
  </si>
  <si>
    <t>残疾人操纵箱面板</t>
  </si>
  <si>
    <t>轮轴组件</t>
  </si>
  <si>
    <t>MHC-MH4 SI通讯电缆</t>
  </si>
  <si>
    <t>连杆</t>
  </si>
  <si>
    <t>复位杆</t>
  </si>
  <si>
    <t>复位杆组件</t>
  </si>
  <si>
    <t>棘轮</t>
  </si>
  <si>
    <t>棘爪</t>
  </si>
  <si>
    <t>棘轮组件</t>
  </si>
  <si>
    <t>离心锤</t>
  </si>
  <si>
    <t>离心锤组件</t>
  </si>
  <si>
    <t>拨叉</t>
  </si>
  <si>
    <t>拉索</t>
  </si>
  <si>
    <t>实验拉索标签</t>
  </si>
  <si>
    <t>复位拉索标签</t>
  </si>
  <si>
    <t>质量检验合格标志</t>
  </si>
  <si>
    <t>扭簧</t>
  </si>
  <si>
    <t>左底板</t>
  </si>
  <si>
    <t>右底板</t>
  </si>
  <si>
    <t>压铆螺母</t>
  </si>
  <si>
    <t>消防开关盒面板</t>
  </si>
  <si>
    <t>厅门显示箱面板</t>
  </si>
  <si>
    <t>召唤显示箱面板</t>
  </si>
  <si>
    <t>召唤箱面板</t>
  </si>
  <si>
    <t>警铃继电器板</t>
  </si>
  <si>
    <t>镀锡钢板</t>
  </si>
  <si>
    <t>控制柜底座组件</t>
  </si>
  <si>
    <t>隔板组件</t>
  </si>
  <si>
    <t>轿厢照明及风扇电源电缆</t>
  </si>
  <si>
    <t>门电机电源及控制电缆</t>
  </si>
  <si>
    <t>轿顶-主COP控制电缆</t>
  </si>
  <si>
    <t>应急灯对讲机及风扇开关电缆</t>
  </si>
  <si>
    <t>一体式变频器</t>
  </si>
  <si>
    <t>控制柜-变频器柜信号控制电缆</t>
  </si>
  <si>
    <t>锁梯装置电缆</t>
  </si>
  <si>
    <t>CPI-主板位置信号电缆</t>
  </si>
  <si>
    <t>CPI-主板速度信号电缆</t>
  </si>
  <si>
    <t>变频器调试加长电缆</t>
  </si>
  <si>
    <t>外召通讯电缆中继器分支</t>
  </si>
  <si>
    <t>井道电缆固定组件</t>
  </si>
  <si>
    <t>手柄套</t>
  </si>
  <si>
    <t>位置标签</t>
  </si>
  <si>
    <t>制动轮毛坯</t>
  </si>
  <si>
    <t>曳引轮毛坯</t>
  </si>
  <si>
    <t>机座毛坯</t>
  </si>
  <si>
    <t>制动轮半成品</t>
  </si>
  <si>
    <t>曳引轮半成品</t>
  </si>
  <si>
    <t>橡胶钉</t>
  </si>
  <si>
    <t>轴半成品</t>
  </si>
  <si>
    <t>制动弹簧标尺</t>
  </si>
  <si>
    <t>释放杆附件</t>
  </si>
  <si>
    <t>钢丝绳润滑油</t>
  </si>
  <si>
    <t>二极管组件</t>
  </si>
  <si>
    <t>支撑垫</t>
  </si>
  <si>
    <t>衔铁组件</t>
  </si>
  <si>
    <t>制动片座</t>
  </si>
  <si>
    <t>固体润滑轴承</t>
  </si>
  <si>
    <t>VR型橡胶密封圈</t>
  </si>
  <si>
    <t>框架横梁组件</t>
  </si>
  <si>
    <t>卸扣</t>
  </si>
  <si>
    <t>卸扣扣体</t>
  </si>
  <si>
    <t>导轨填充物</t>
  </si>
  <si>
    <t>塑封膜</t>
  </si>
  <si>
    <t>纸板</t>
  </si>
  <si>
    <t>提示标志</t>
  </si>
  <si>
    <t>球面垫圈</t>
  </si>
  <si>
    <t>锥面垫圈</t>
  </si>
  <si>
    <t>包装袋</t>
  </si>
  <si>
    <t>安全标志</t>
  </si>
  <si>
    <t>安全钳壳体</t>
  </si>
  <si>
    <t>安全钳附件</t>
  </si>
  <si>
    <t>锥套</t>
  </si>
  <si>
    <t>无花镀锌钢板</t>
  </si>
  <si>
    <t>铝板</t>
  </si>
  <si>
    <t>铝合金板</t>
  </si>
  <si>
    <t>解码器连接电缆</t>
  </si>
  <si>
    <t>井道线槽</t>
  </si>
  <si>
    <t>线槽包塑钢丝绳</t>
  </si>
  <si>
    <t>井道线槽安装附件</t>
  </si>
  <si>
    <t>对重框架立柱组件</t>
  </si>
  <si>
    <t>机房附件</t>
    <phoneticPr fontId="13" type="noConversion"/>
  </si>
  <si>
    <t>Panoramic Car</t>
  </si>
  <si>
    <t>上面板组件</t>
  </si>
  <si>
    <t>Panel components on</t>
  </si>
  <si>
    <t>08001</t>
    <phoneticPr fontId="13" type="noConversion"/>
  </si>
  <si>
    <t>Redfox</t>
    <phoneticPr fontId="13" type="noConversion"/>
  </si>
  <si>
    <t>8#-2</t>
    <phoneticPr fontId="13" type="noConversion"/>
  </si>
  <si>
    <t>10#-1</t>
    <phoneticPr fontId="14" type="noConversion"/>
  </si>
  <si>
    <t>10#-1</t>
    <phoneticPr fontId="13" type="noConversion"/>
  </si>
  <si>
    <t>09001</t>
    <phoneticPr fontId="13" type="noConversion"/>
  </si>
  <si>
    <t>9#-1</t>
    <phoneticPr fontId="14" type="noConversion"/>
  </si>
  <si>
    <t>8#-1</t>
    <phoneticPr fontId="14" type="noConversion"/>
  </si>
  <si>
    <t>3#-1</t>
    <phoneticPr fontId="14" type="noConversion"/>
  </si>
  <si>
    <t>03001</t>
    <phoneticPr fontId="13" type="noConversion"/>
  </si>
  <si>
    <t>02002</t>
    <phoneticPr fontId="13" type="noConversion"/>
  </si>
  <si>
    <t>12000</t>
    <phoneticPr fontId="13" type="noConversion"/>
  </si>
  <si>
    <t>09001</t>
    <phoneticPr fontId="13" type="noConversion"/>
  </si>
  <si>
    <t>A710</t>
    <phoneticPr fontId="14" type="noConversion"/>
  </si>
  <si>
    <t>2#-2</t>
    <phoneticPr fontId="13" type="noConversion"/>
  </si>
  <si>
    <t>操纵箱</t>
    <phoneticPr fontId="13" type="noConversion"/>
  </si>
  <si>
    <t>08002</t>
    <phoneticPr fontId="13" type="noConversion"/>
  </si>
  <si>
    <t>A670</t>
    <phoneticPr fontId="14" type="noConversion"/>
  </si>
  <si>
    <t>Integral-type COP</t>
  </si>
  <si>
    <t>操纵箱</t>
  </si>
  <si>
    <t>自动计算区(仅供参考,如果无法自动出来,请手动填入)</t>
    <phoneticPr fontId="14" type="noConversion"/>
  </si>
  <si>
    <t>曳引机机架</t>
    <phoneticPr fontId="13" type="noConversion"/>
  </si>
  <si>
    <t>Item Type--Part</t>
    <phoneticPr fontId="13" type="noConversion"/>
  </si>
  <si>
    <t>编号：</t>
    <phoneticPr fontId="14" type="noConversion"/>
  </si>
  <si>
    <t>序号</t>
    <phoneticPr fontId="13" type="noConversion"/>
  </si>
  <si>
    <t>版本</t>
    <phoneticPr fontId="13" type="noConversion"/>
  </si>
  <si>
    <t>更新内容</t>
    <phoneticPr fontId="13" type="noConversion"/>
  </si>
  <si>
    <t>注: 1 偶数版为非标工程师用,物料名称可含下层物料的名称.但需补充顶层发运层物料名称                                   2 奇数版为配置工程师用,物料名仅出现发运层</t>
    <phoneticPr fontId="13" type="noConversion"/>
  </si>
  <si>
    <t>所属顶层的物料名称</t>
    <phoneticPr fontId="9" type="noConversion"/>
  </si>
  <si>
    <t>所属顶层的物料名称</t>
    <phoneticPr fontId="14" type="noConversion"/>
  </si>
  <si>
    <t>id</t>
    <phoneticPr fontId="13" type="noConversion"/>
  </si>
  <si>
    <t>issue</t>
    <phoneticPr fontId="13" type="noConversion"/>
  </si>
  <si>
    <t>status</t>
    <phoneticPr fontId="13" type="noConversion"/>
  </si>
  <si>
    <t>update_version</t>
    <phoneticPr fontId="13" type="noConversion"/>
  </si>
  <si>
    <t>to-do</t>
    <phoneticPr fontId="13" type="noConversion"/>
  </si>
  <si>
    <t>machine beams</t>
  </si>
  <si>
    <t>A730</t>
    <phoneticPr fontId="14" type="noConversion"/>
  </si>
  <si>
    <t>总线解码器</t>
  </si>
  <si>
    <r>
      <rPr>
        <sz val="10"/>
        <rFont val="宋体"/>
        <family val="3"/>
        <charset val="134"/>
      </rPr>
      <t>空调安装附件</t>
    </r>
  </si>
  <si>
    <r>
      <rPr>
        <sz val="10"/>
        <rFont val="宋体"/>
        <family val="3"/>
        <charset val="134"/>
      </rPr>
      <t>空调安装支架</t>
    </r>
  </si>
  <si>
    <t>轿门锁装置</t>
  </si>
  <si>
    <t>轿门锁开锁挡块</t>
  </si>
  <si>
    <t>缓冲器油</t>
  </si>
  <si>
    <t>A250</t>
  </si>
  <si>
    <t>束带固定座</t>
  </si>
  <si>
    <t>A710</t>
  </si>
  <si>
    <t>视频转换器</t>
  </si>
  <si>
    <t>电梯应急电源</t>
  </si>
  <si>
    <t>A140</t>
  </si>
  <si>
    <t>到站灯</t>
  </si>
  <si>
    <t>A780</t>
  </si>
  <si>
    <t>井道电缆</t>
  </si>
  <si>
    <t>A670</t>
  </si>
  <si>
    <t>主操纵箱</t>
  </si>
  <si>
    <t>A570</t>
  </si>
  <si>
    <t>副操纵箱</t>
  </si>
  <si>
    <t>对讲系统装置</t>
  </si>
  <si>
    <t>IC卡</t>
  </si>
  <si>
    <t>称量装置</t>
  </si>
  <si>
    <t>A420</t>
  </si>
  <si>
    <t>装潢吊顶</t>
  </si>
  <si>
    <t>A500</t>
  </si>
  <si>
    <t>装潢扶手</t>
  </si>
  <si>
    <t>电梯空调</t>
  </si>
  <si>
    <t>A160</t>
  </si>
  <si>
    <t>A170</t>
  </si>
  <si>
    <t>调整对重块</t>
  </si>
  <si>
    <t>搁机梁</t>
    <phoneticPr fontId="13" type="noConversion"/>
  </si>
  <si>
    <t>03001</t>
    <phoneticPr fontId="13" type="noConversion"/>
  </si>
  <si>
    <t>09001</t>
    <phoneticPr fontId="13" type="noConversion"/>
  </si>
  <si>
    <t>A300</t>
    <phoneticPr fontId="14" type="noConversion"/>
  </si>
  <si>
    <t>导轨底座</t>
  </si>
  <si>
    <t>缓冲器底座</t>
  </si>
  <si>
    <t>A210</t>
    <phoneticPr fontId="14" type="noConversion"/>
  </si>
  <si>
    <r>
      <rPr>
        <sz val="10"/>
        <rFont val="宋体"/>
        <family val="3"/>
        <charset val="134"/>
      </rPr>
      <t>消防开关盒</t>
    </r>
  </si>
  <si>
    <r>
      <rPr>
        <sz val="10"/>
        <rFont val="宋体"/>
        <family val="3"/>
        <charset val="134"/>
      </rPr>
      <t>底坑检修箱</t>
    </r>
  </si>
  <si>
    <r>
      <rPr>
        <sz val="10"/>
        <rFont val="宋体"/>
        <family val="3"/>
        <charset val="134"/>
      </rPr>
      <t>辅助急停开关盒</t>
    </r>
  </si>
  <si>
    <r>
      <rPr>
        <sz val="10"/>
        <rFont val="宋体"/>
        <family val="3"/>
        <charset val="134"/>
      </rPr>
      <t>中继器安装盒</t>
    </r>
  </si>
  <si>
    <r>
      <rPr>
        <sz val="10"/>
        <rFont val="宋体"/>
        <family val="3"/>
        <charset val="134"/>
      </rPr>
      <t>电梯标志</t>
    </r>
  </si>
  <si>
    <r>
      <rPr>
        <sz val="10"/>
        <rFont val="宋体"/>
        <family val="3"/>
        <charset val="134"/>
      </rPr>
      <t>电梯紧急通讯报警系统电源</t>
    </r>
  </si>
  <si>
    <r>
      <rPr>
        <sz val="10"/>
        <rFont val="宋体"/>
        <family val="3"/>
        <charset val="134"/>
      </rPr>
      <t>轿顶检修箱</t>
    </r>
  </si>
  <si>
    <r>
      <rPr>
        <sz val="10"/>
        <rFont val="宋体"/>
        <family val="3"/>
        <charset val="134"/>
      </rPr>
      <t>钢丝绳顶部固定组件</t>
    </r>
  </si>
  <si>
    <r>
      <rPr>
        <sz val="10"/>
        <rFont val="宋体"/>
        <family val="3"/>
        <charset val="134"/>
      </rPr>
      <t>总线解码器</t>
    </r>
  </si>
  <si>
    <t>A330</t>
    <phoneticPr fontId="14" type="noConversion"/>
  </si>
  <si>
    <t>称重装置</t>
    <phoneticPr fontId="13" type="noConversion"/>
  </si>
  <si>
    <t>Loincloth fixation</t>
  </si>
  <si>
    <t>Video  Converter</t>
  </si>
  <si>
    <t>Hall lanter</t>
  </si>
  <si>
    <t>Shaft Cable</t>
  </si>
  <si>
    <t>Interphone Device</t>
  </si>
  <si>
    <t>Load Weighing Device</t>
  </si>
  <si>
    <t>Air Conditioner Fix Accessories</t>
  </si>
  <si>
    <t>C/Door Lock With Unlocking Plate Assy</t>
  </si>
  <si>
    <t>Tune Counterweight Block</t>
  </si>
  <si>
    <t>Mounting Seat</t>
  </si>
  <si>
    <t>Steel Rope Wood Clamp Set</t>
  </si>
  <si>
    <t>C.Rope Tension Device Assy</t>
  </si>
  <si>
    <t>Rope Fastening</t>
  </si>
  <si>
    <t>BOLT board box</t>
  </si>
  <si>
    <t>Lock Test Box</t>
  </si>
  <si>
    <t>4.00C</t>
    <phoneticPr fontId="13" type="noConversion"/>
  </si>
  <si>
    <t>更新增加HP61,优化之前rp,boxid搜索,根据物料名称中参数中英文分拆为单一参数版和中英文参数版</t>
    <phoneticPr fontId="13" type="noConversion"/>
  </si>
  <si>
    <t>4.03-r</t>
    <phoneticPr fontId="13" type="noConversion"/>
  </si>
  <si>
    <t>更正导轨BOXID</t>
    <phoneticPr fontId="13" type="noConversion"/>
  </si>
  <si>
    <t>4.05-r</t>
    <phoneticPr fontId="13" type="noConversion"/>
  </si>
  <si>
    <t>更新字典连接。</t>
    <phoneticPr fontId="13" type="noConversion"/>
  </si>
  <si>
    <t>4.07-r</t>
    <phoneticPr fontId="13" type="noConversion"/>
  </si>
  <si>
    <t>去除物料空格</t>
    <phoneticPr fontId="13" type="noConversion"/>
  </si>
  <si>
    <t>2014年3月20日 申请物料汇总表</t>
  </si>
  <si>
    <t>4.09-r</t>
    <phoneticPr fontId="13" type="noConversion"/>
  </si>
  <si>
    <t>A150</t>
    <phoneticPr fontId="14" type="noConversion"/>
  </si>
  <si>
    <t>机械联动装置</t>
  </si>
  <si>
    <t>Machine Linkage Device</t>
  </si>
  <si>
    <t>控制柜 TE-E(F)</t>
  </si>
  <si>
    <t>Controller TE-E(F)</t>
  </si>
  <si>
    <t>COP</t>
  </si>
  <si>
    <t>A770</t>
  </si>
  <si>
    <r>
      <rPr>
        <b/>
        <sz val="10"/>
        <rFont val="宋体"/>
        <family val="3"/>
        <charset val="134"/>
      </rPr>
      <t>对重组件</t>
    </r>
    <r>
      <rPr>
        <b/>
        <sz val="10"/>
        <rFont val="TKTypeRegular"/>
        <family val="2"/>
      </rPr>
      <t>/Counterweight Assembly</t>
    </r>
    <phoneticPr fontId="14" type="noConversion"/>
  </si>
  <si>
    <t>A730</t>
  </si>
  <si>
    <t>4.11-r</t>
    <phoneticPr fontId="13" type="noConversion"/>
  </si>
  <si>
    <t>按钮操作改成VBA,更新部分bug</t>
    <phoneticPr fontId="13" type="noConversion"/>
  </si>
  <si>
    <t>14#-1</t>
    <phoneticPr fontId="14" type="noConversion"/>
  </si>
  <si>
    <t>14#-1</t>
    <phoneticPr fontId="14" type="noConversion"/>
  </si>
  <si>
    <t>8#-3</t>
    <phoneticPr fontId="14" type="noConversion"/>
  </si>
  <si>
    <t>A210</t>
  </si>
  <si>
    <t>03001</t>
    <phoneticPr fontId="13" type="noConversion"/>
  </si>
  <si>
    <t>A730</t>
    <phoneticPr fontId="14" type="noConversion"/>
  </si>
  <si>
    <t>3#-1</t>
    <phoneticPr fontId="13" type="noConversion"/>
  </si>
  <si>
    <t>4.13-R</t>
    <phoneticPr fontId="13" type="noConversion"/>
  </si>
  <si>
    <t>更新消防返回到位开关组件RP</t>
    <phoneticPr fontId="13" type="noConversion"/>
  </si>
  <si>
    <t>08001</t>
    <phoneticPr fontId="13" type="noConversion"/>
  </si>
  <si>
    <t>02003</t>
    <phoneticPr fontId="13" type="noConversion"/>
  </si>
  <si>
    <t>A010</t>
    <phoneticPr fontId="14" type="noConversion"/>
  </si>
  <si>
    <t>04001</t>
    <phoneticPr fontId="13" type="noConversion"/>
  </si>
  <si>
    <r>
      <rPr>
        <sz val="10"/>
        <rFont val="宋体"/>
        <family val="3"/>
        <charset val="134"/>
      </rPr>
      <t>缓冲器支架</t>
    </r>
    <r>
      <rPr>
        <sz val="10"/>
        <rFont val="Arial Narrow"/>
        <family val="2"/>
      </rPr>
      <t>(</t>
    </r>
    <r>
      <rPr>
        <sz val="10"/>
        <rFont val="宋体"/>
        <family val="3"/>
        <charset val="134"/>
      </rPr>
      <t>轿厢侧</t>
    </r>
    <r>
      <rPr>
        <sz val="10"/>
        <rFont val="Arial Narrow"/>
        <family val="2"/>
      </rPr>
      <t>)</t>
    </r>
    <phoneticPr fontId="13" type="noConversion"/>
  </si>
  <si>
    <r>
      <rPr>
        <sz val="10"/>
        <rFont val="宋体"/>
        <family val="3"/>
        <charset val="134"/>
      </rPr>
      <t>滚动导靴</t>
    </r>
    <r>
      <rPr>
        <sz val="10"/>
        <rFont val="TKTypeRegular"/>
        <family val="2"/>
      </rPr>
      <t>(</t>
    </r>
    <r>
      <rPr>
        <sz val="10"/>
        <rFont val="宋体"/>
        <family val="3"/>
        <charset val="134"/>
      </rPr>
      <t>轿厢侧）</t>
    </r>
    <phoneticPr fontId="13" type="noConversion"/>
  </si>
  <si>
    <t>A290</t>
    <phoneticPr fontId="14" type="noConversion"/>
  </si>
  <si>
    <r>
      <rPr>
        <sz val="10"/>
        <rFont val="宋体"/>
        <family val="3"/>
        <charset val="134"/>
      </rPr>
      <t>对讲机</t>
    </r>
    <r>
      <rPr>
        <sz val="10"/>
        <rFont val="TKTypeRegular"/>
        <family val="2"/>
      </rPr>
      <t>(</t>
    </r>
    <r>
      <rPr>
        <sz val="10"/>
        <rFont val="宋体"/>
        <family val="3"/>
        <charset val="134"/>
      </rPr>
      <t>轿顶检修箱</t>
    </r>
    <r>
      <rPr>
        <sz val="10"/>
        <rFont val="TKTypeRegular"/>
        <family val="2"/>
      </rPr>
      <t>)</t>
    </r>
    <phoneticPr fontId="13" type="noConversion"/>
  </si>
  <si>
    <t>A710</t>
    <phoneticPr fontId="14" type="noConversion"/>
  </si>
  <si>
    <t>09001</t>
    <phoneticPr fontId="13" type="noConversion"/>
  </si>
  <si>
    <t xml:space="preserve"> </t>
    <phoneticPr fontId="13" type="noConversion"/>
  </si>
  <si>
    <t xml:space="preserve"> </t>
    <phoneticPr fontId="14" type="noConversion"/>
  </si>
  <si>
    <t xml:space="preserve"> </t>
    <phoneticPr fontId="9" type="noConversion"/>
  </si>
  <si>
    <t>MCM线束</t>
  </si>
  <si>
    <r>
      <rPr>
        <sz val="10"/>
        <rFont val="宋体"/>
        <family val="3"/>
        <charset val="134"/>
      </rPr>
      <t>机房线槽组件</t>
    </r>
  </si>
  <si>
    <t>A750</t>
  </si>
  <si>
    <r>
      <t>项目非标物料汇总表</t>
    </r>
    <r>
      <rPr>
        <b/>
        <sz val="15"/>
        <rFont val="Times New Roman"/>
        <family val="1"/>
      </rPr>
      <t>V4.14</t>
    </r>
    <phoneticPr fontId="14" type="noConversion"/>
  </si>
  <si>
    <t>01000</t>
    <phoneticPr fontId="14" type="noConversion"/>
  </si>
  <si>
    <t>1#-1</t>
    <phoneticPr fontId="14" type="noConversion"/>
  </si>
  <si>
    <t>轿壁系统</t>
    <phoneticPr fontId="9" type="noConversion"/>
  </si>
  <si>
    <t>Car Panel System</t>
    <phoneticPr fontId="9" type="noConversion"/>
  </si>
  <si>
    <r>
      <rPr>
        <sz val="10"/>
        <rFont val="宋体"/>
        <family val="3"/>
        <charset val="134"/>
      </rPr>
      <t>盘车装置</t>
    </r>
    <phoneticPr fontId="14" type="noConversion"/>
  </si>
  <si>
    <t>A130</t>
    <phoneticPr fontId="14" type="noConversion"/>
  </si>
  <si>
    <t>A630</t>
  </si>
  <si>
    <t>厅门地坎</t>
    <phoneticPr fontId="14" type="noConversion"/>
  </si>
  <si>
    <t>A020</t>
  </si>
  <si>
    <t>A030</t>
  </si>
  <si>
    <t>限速器安装座/安装座</t>
  </si>
  <si>
    <t xml:space="preserve">搁机钢梁/热轧工字钢 </t>
  </si>
  <si>
    <t>A050</t>
  </si>
  <si>
    <t>A690</t>
  </si>
  <si>
    <t>A480</t>
  </si>
  <si>
    <t>A440</t>
  </si>
  <si>
    <t>选层器组件</t>
  </si>
  <si>
    <t>A410</t>
  </si>
  <si>
    <t>钢丝绳木夹</t>
  </si>
  <si>
    <t>井道稳态开关组件</t>
  </si>
  <si>
    <t>轿厢导轨</t>
  </si>
  <si>
    <t>轿厢导轨附件</t>
  </si>
  <si>
    <t>A700</t>
  </si>
  <si>
    <t>对重导轨</t>
  </si>
  <si>
    <t>对重导轨附件</t>
  </si>
  <si>
    <t>导轨 TD65</t>
  </si>
  <si>
    <t>导轨附件 TD65</t>
  </si>
  <si>
    <t>A520</t>
  </si>
  <si>
    <t>A130</t>
  </si>
  <si>
    <t>厅门地坎</t>
  </si>
  <si>
    <t>厅门装置</t>
  </si>
  <si>
    <t>厅门门柱组件</t>
  </si>
  <si>
    <t>厅门装饰门框</t>
  </si>
  <si>
    <t>A200</t>
  </si>
  <si>
    <t>A400</t>
    <phoneticPr fontId="14" type="noConversion"/>
  </si>
  <si>
    <t>A220</t>
  </si>
  <si>
    <t>厅门悬挂组件地坎托架安装附件</t>
  </si>
  <si>
    <t>A230</t>
  </si>
  <si>
    <t>液压缓冲器</t>
  </si>
  <si>
    <t>液压缓冲器油</t>
  </si>
  <si>
    <t>A280</t>
  </si>
  <si>
    <t>A460</t>
  </si>
  <si>
    <t>对重限速器</t>
  </si>
  <si>
    <t>对重限速器张紧装置</t>
  </si>
  <si>
    <t>对重安全钳</t>
  </si>
  <si>
    <t>A660</t>
  </si>
  <si>
    <t>金属软管/波纹管/束带固定座</t>
  </si>
  <si>
    <t>09001</t>
    <phoneticPr fontId="14" type="noConversion"/>
  </si>
  <si>
    <t>总线制监控主机/分线制多局主机/对讲机</t>
  </si>
  <si>
    <t>A430</t>
  </si>
  <si>
    <t>A400</t>
  </si>
  <si>
    <t>LCD 液晶显示器</t>
  </si>
  <si>
    <t>残疾人COP</t>
  </si>
  <si>
    <t>A510</t>
  </si>
  <si>
    <r>
      <rPr>
        <sz val="10"/>
        <rFont val="宋体"/>
        <family val="3"/>
        <charset val="134"/>
      </rPr>
      <t>轿底组件</t>
    </r>
    <phoneticPr fontId="14" type="noConversion"/>
  </si>
  <si>
    <t>楼层召唤显示箱</t>
  </si>
  <si>
    <t>横式显示箱</t>
  </si>
  <si>
    <t>IC卡读卡器/写卡器/IC卡</t>
  </si>
  <si>
    <t>安全门开关组件</t>
  </si>
  <si>
    <t>轿厢侧滑动导靴</t>
  </si>
  <si>
    <t>对重侧滑动导靴</t>
  </si>
  <si>
    <t>A490</t>
  </si>
  <si>
    <t>A720</t>
  </si>
  <si>
    <t>A380</t>
  </si>
  <si>
    <t>轿厢侧钢丝绳夹</t>
  </si>
  <si>
    <t>对重侧钢丝绳夹</t>
  </si>
  <si>
    <t>应急电源安装附件</t>
  </si>
  <si>
    <t>A320</t>
  </si>
  <si>
    <t>A330</t>
  </si>
  <si>
    <t>轿顶护栏组件</t>
  </si>
  <si>
    <t>装潢吊顶(TSD)</t>
  </si>
  <si>
    <t>装潢扶手(TSF)</t>
  </si>
  <si>
    <t>A580</t>
  </si>
  <si>
    <t>轿门门楣遮光板</t>
  </si>
  <si>
    <t>后壁镜子</t>
  </si>
  <si>
    <t>A540</t>
  </si>
  <si>
    <t>后壁玻璃</t>
  </si>
  <si>
    <t>轿壁装潢部件</t>
  </si>
  <si>
    <t>A610</t>
  </si>
  <si>
    <t>装潢镜子</t>
  </si>
  <si>
    <t>A560</t>
  </si>
  <si>
    <t>A390</t>
  </si>
  <si>
    <t>轿门光幕</t>
  </si>
  <si>
    <t>A600</t>
  </si>
  <si>
    <t>轿门锁组件</t>
  </si>
  <si>
    <t>轿门锁开锁挡块组件</t>
  </si>
  <si>
    <t>A180</t>
  </si>
  <si>
    <t>轿门装置</t>
  </si>
  <si>
    <t>轿门立柱组件</t>
  </si>
  <si>
    <t>F9门电机</t>
  </si>
  <si>
    <t>光幕左支架组件</t>
  </si>
  <si>
    <t>K8机械联动装置</t>
  </si>
  <si>
    <t>轿门左门</t>
  </si>
  <si>
    <t>轿门右门</t>
  </si>
  <si>
    <t>A740</t>
  </si>
  <si>
    <t>对重铁</t>
  </si>
  <si>
    <t>调整对重铁</t>
  </si>
  <si>
    <t>曳引钢丝绳</t>
  </si>
  <si>
    <t>限速钢丝绳</t>
  </si>
  <si>
    <t>A450</t>
  </si>
  <si>
    <t>门传动钢丝绳</t>
    <phoneticPr fontId="14" type="noConversion"/>
  </si>
  <si>
    <t xml:space="preserve"> </t>
    <phoneticPr fontId="9" type="noConversion"/>
  </si>
  <si>
    <t>曳引机系统</t>
    <phoneticPr fontId="9" type="noConversion"/>
  </si>
  <si>
    <t>T/M System</t>
    <phoneticPr fontId="9" type="noConversion"/>
  </si>
  <si>
    <t>02000</t>
    <phoneticPr fontId="9" type="noConversion"/>
  </si>
  <si>
    <t>曳引机</t>
    <phoneticPr fontId="13" type="noConversion"/>
  </si>
  <si>
    <t>y</t>
    <phoneticPr fontId="13" type="noConversion"/>
  </si>
  <si>
    <t>y</t>
    <phoneticPr fontId="13" type="noConversion"/>
  </si>
  <si>
    <t>轿门装置</t>
    <phoneticPr fontId="13" type="noConversion"/>
  </si>
  <si>
    <t>Car Door Device</t>
    <phoneticPr fontId="13" type="noConversion"/>
  </si>
  <si>
    <t>A560</t>
    <phoneticPr fontId="13" type="noConversion"/>
  </si>
  <si>
    <t>HP61</t>
    <phoneticPr fontId="13" type="noConversion"/>
  </si>
  <si>
    <r>
      <rPr>
        <b/>
        <sz val="10"/>
        <rFont val="宋体"/>
        <family val="3"/>
        <charset val="134"/>
      </rPr>
      <t>包装箱</t>
    </r>
    <phoneticPr fontId="14" type="noConversion"/>
  </si>
  <si>
    <r>
      <rPr>
        <b/>
        <sz val="10"/>
        <rFont val="宋体"/>
        <family val="3"/>
        <charset val="134"/>
      </rPr>
      <t>部件名称</t>
    </r>
    <phoneticPr fontId="14" type="noConversion"/>
  </si>
  <si>
    <r>
      <rPr>
        <b/>
        <sz val="10"/>
        <rFont val="宋体"/>
        <family val="3"/>
        <charset val="134"/>
      </rPr>
      <t>箱号</t>
    </r>
    <phoneticPr fontId="14" type="noConversion"/>
  </si>
  <si>
    <r>
      <rPr>
        <b/>
        <sz val="10"/>
        <rFont val="宋体"/>
        <family val="3"/>
        <charset val="134"/>
      </rPr>
      <t>参考点</t>
    </r>
    <phoneticPr fontId="14" type="noConversion"/>
  </si>
  <si>
    <t>包装箱号</t>
    <phoneticPr fontId="14" type="noConversion"/>
  </si>
  <si>
    <t>备注</t>
    <phoneticPr fontId="14" type="noConversion"/>
  </si>
  <si>
    <t>Shaft Component</t>
    <phoneticPr fontId="9" type="noConversion"/>
  </si>
  <si>
    <t>03000</t>
    <phoneticPr fontId="9" type="noConversion"/>
  </si>
  <si>
    <t>曳引轮</t>
    <phoneticPr fontId="14" type="noConversion"/>
  </si>
  <si>
    <t>厅门装置</t>
    <phoneticPr fontId="13" type="noConversion"/>
  </si>
  <si>
    <t>Landing Door Device</t>
    <phoneticPr fontId="13" type="noConversion"/>
  </si>
  <si>
    <t>A520</t>
    <phoneticPr fontId="13" type="noConversion"/>
  </si>
  <si>
    <t>05001</t>
    <phoneticPr fontId="13" type="noConversion"/>
  </si>
  <si>
    <r>
      <rPr>
        <sz val="10"/>
        <rFont val="宋体"/>
        <family val="3"/>
        <charset val="134"/>
      </rPr>
      <t>控制屏总成</t>
    </r>
    <r>
      <rPr>
        <sz val="6"/>
        <rFont val="TKTypeRegular"/>
        <family val="2"/>
      </rPr>
      <t>/CONTROL CABINET ASS.</t>
    </r>
    <phoneticPr fontId="14" type="noConversion"/>
  </si>
  <si>
    <t>国产称重传感器</t>
    <phoneticPr fontId="14" type="noConversion"/>
  </si>
  <si>
    <t>A340</t>
    <phoneticPr fontId="14" type="noConversion"/>
  </si>
  <si>
    <t>01000</t>
    <phoneticPr fontId="14" type="noConversion"/>
  </si>
  <si>
    <r>
      <t>国产称重传感器</t>
    </r>
    <r>
      <rPr>
        <sz val="10"/>
        <rFont val="TKTypeRegular"/>
        <family val="2"/>
      </rPr>
      <t>EK-HDJD</t>
    </r>
  </si>
  <si>
    <t>导轨组件</t>
    <phoneticPr fontId="9" type="noConversion"/>
  </si>
  <si>
    <t>Guide Rail Assy</t>
    <phoneticPr fontId="9" type="noConversion"/>
  </si>
  <si>
    <t>04000</t>
    <phoneticPr fontId="9" type="noConversion"/>
  </si>
  <si>
    <t>波形弹簧</t>
    <phoneticPr fontId="14" type="noConversion"/>
  </si>
  <si>
    <t>y</t>
    <phoneticPr fontId="13" type="noConversion"/>
  </si>
  <si>
    <t>轿厢</t>
    <phoneticPr fontId="13" type="noConversion"/>
  </si>
  <si>
    <t>Car</t>
    <phoneticPr fontId="13" type="noConversion"/>
  </si>
  <si>
    <t>A550</t>
    <phoneticPr fontId="13" type="noConversion"/>
  </si>
  <si>
    <t>11001</t>
    <phoneticPr fontId="13" type="noConversion"/>
  </si>
  <si>
    <t>称重装置</t>
    <phoneticPr fontId="14" type="noConversion"/>
  </si>
  <si>
    <t>A340</t>
    <phoneticPr fontId="14" type="noConversion"/>
  </si>
  <si>
    <t>01000</t>
    <phoneticPr fontId="14" type="noConversion"/>
  </si>
  <si>
    <r>
      <t>LMS1</t>
    </r>
    <r>
      <rPr>
        <sz val="10"/>
        <rFont val="宋体"/>
        <family val="3"/>
        <charset val="134"/>
      </rPr>
      <t>盒</t>
    </r>
  </si>
  <si>
    <t>Door Panel</t>
    <phoneticPr fontId="9" type="noConversion"/>
  </si>
  <si>
    <t>千斤顶</t>
    <phoneticPr fontId="14" type="noConversion"/>
  </si>
  <si>
    <t>机房附件</t>
    <phoneticPr fontId="13" type="noConversion"/>
  </si>
  <si>
    <t>y</t>
    <phoneticPr fontId="13" type="noConversion"/>
  </si>
  <si>
    <t>观光轿厢</t>
    <phoneticPr fontId="13" type="noConversion"/>
  </si>
  <si>
    <t>A550</t>
    <phoneticPr fontId="13" type="noConversion"/>
  </si>
  <si>
    <t>11001</t>
    <phoneticPr fontId="13" type="noConversion"/>
  </si>
  <si>
    <t>控制柜</t>
    <phoneticPr fontId="14" type="noConversion"/>
  </si>
  <si>
    <t>A630</t>
    <phoneticPr fontId="14" type="noConversion"/>
  </si>
  <si>
    <t xml:space="preserve"> HP61</t>
  </si>
  <si>
    <t>门系统</t>
    <phoneticPr fontId="9" type="noConversion"/>
  </si>
  <si>
    <t>Door System</t>
    <phoneticPr fontId="9" type="noConversion"/>
  </si>
  <si>
    <t>06000</t>
    <phoneticPr fontId="9" type="noConversion"/>
  </si>
  <si>
    <r>
      <t>A</t>
    </r>
    <r>
      <rPr>
        <sz val="9"/>
        <color indexed="8"/>
        <rFont val="宋体"/>
        <family val="3"/>
        <charset val="134"/>
      </rPr>
      <t>56</t>
    </r>
    <r>
      <rPr>
        <sz val="9"/>
        <color indexed="8"/>
        <rFont val="宋体"/>
        <family val="3"/>
        <charset val="134"/>
      </rPr>
      <t>0</t>
    </r>
    <phoneticPr fontId="9" type="noConversion"/>
  </si>
  <si>
    <t>曳引机机架</t>
    <phoneticPr fontId="14" type="noConversion"/>
  </si>
  <si>
    <t xml:space="preserve"> </t>
    <phoneticPr fontId="13" type="noConversion"/>
  </si>
  <si>
    <t>A630</t>
    <phoneticPr fontId="14" type="noConversion"/>
  </si>
  <si>
    <t>轿架系统</t>
    <phoneticPr fontId="9" type="noConversion"/>
  </si>
  <si>
    <t xml:space="preserve">Car Frame System </t>
    <phoneticPr fontId="9" type="noConversion"/>
  </si>
  <si>
    <t>07000</t>
    <phoneticPr fontId="9" type="noConversion"/>
  </si>
  <si>
    <t>整体式操纵箱</t>
    <phoneticPr fontId="13" type="noConversion"/>
  </si>
  <si>
    <t>A570</t>
    <phoneticPr fontId="13" type="noConversion"/>
  </si>
  <si>
    <t>变频器柜</t>
    <phoneticPr fontId="14" type="noConversion"/>
  </si>
  <si>
    <t>01001</t>
    <phoneticPr fontId="14" type="noConversion"/>
  </si>
  <si>
    <t>1#-1</t>
    <phoneticPr fontId="14" type="noConversion"/>
  </si>
  <si>
    <t>轿顶，轿底组件</t>
    <phoneticPr fontId="9" type="noConversion"/>
  </si>
  <si>
    <t>Car Roof，Car Floor Assy</t>
    <phoneticPr fontId="9" type="noConversion"/>
  </si>
  <si>
    <t>09001</t>
    <phoneticPr fontId="9" type="noConversion"/>
  </si>
  <si>
    <t>A500</t>
    <phoneticPr fontId="9" type="noConversion"/>
  </si>
  <si>
    <t>COP</t>
    <phoneticPr fontId="13" type="noConversion"/>
  </si>
  <si>
    <t>A570</t>
    <phoneticPr fontId="13" type="noConversion"/>
  </si>
  <si>
    <t>A630</t>
    <phoneticPr fontId="14" type="noConversion"/>
  </si>
  <si>
    <t>减震装置</t>
    <phoneticPr fontId="14" type="noConversion"/>
  </si>
  <si>
    <t>Handicapped COP</t>
    <phoneticPr fontId="13" type="noConversion"/>
  </si>
  <si>
    <t>08001</t>
    <phoneticPr fontId="13" type="noConversion"/>
  </si>
  <si>
    <r>
      <rPr>
        <sz val="10"/>
        <rFont val="宋体"/>
        <family val="3"/>
        <charset val="134"/>
      </rPr>
      <t>插座</t>
    </r>
    <phoneticPr fontId="14" type="noConversion"/>
  </si>
  <si>
    <t>Counterweight Assembly</t>
    <phoneticPr fontId="9" type="noConversion"/>
  </si>
  <si>
    <t>面板组件</t>
    <phoneticPr fontId="13" type="noConversion"/>
  </si>
  <si>
    <t>panel Assy</t>
    <phoneticPr fontId="13" type="noConversion"/>
  </si>
  <si>
    <r>
      <t xml:space="preserve">MCM </t>
    </r>
    <r>
      <rPr>
        <sz val="10"/>
        <rFont val="宋体"/>
        <family val="3"/>
        <charset val="134"/>
      </rPr>
      <t>主开关</t>
    </r>
    <r>
      <rPr>
        <sz val="10"/>
        <rFont val="TKTypeRegular"/>
        <family val="2"/>
      </rPr>
      <t>(80A)</t>
    </r>
    <phoneticPr fontId="13" type="noConversion"/>
  </si>
  <si>
    <t>CWT Filler</t>
    <phoneticPr fontId="9" type="noConversion"/>
  </si>
  <si>
    <t>搁机梁</t>
    <phoneticPr fontId="13" type="noConversion"/>
  </si>
  <si>
    <t>A050</t>
    <phoneticPr fontId="14" type="noConversion"/>
  </si>
  <si>
    <t>02004</t>
    <phoneticPr fontId="14" type="noConversion"/>
  </si>
  <si>
    <t>01000</t>
    <phoneticPr fontId="13" type="noConversion"/>
  </si>
  <si>
    <t>A630</t>
    <phoneticPr fontId="13" type="noConversion"/>
  </si>
  <si>
    <t>Buffer Oil</t>
    <phoneticPr fontId="13" type="noConversion"/>
  </si>
  <si>
    <r>
      <rPr>
        <sz val="10"/>
        <rFont val="宋体"/>
        <family val="3"/>
        <charset val="134"/>
      </rPr>
      <t>曳引机总成</t>
    </r>
    <r>
      <rPr>
        <sz val="6"/>
        <rFont val="TKTypeRegular"/>
        <family val="2"/>
      </rPr>
      <t>/TRACTION MACHINE ASS</t>
    </r>
    <phoneticPr fontId="14" type="noConversion"/>
  </si>
  <si>
    <t>A010</t>
    <phoneticPr fontId="14" type="noConversion"/>
  </si>
  <si>
    <t>02001</t>
    <phoneticPr fontId="14" type="noConversion"/>
  </si>
  <si>
    <t>08002</t>
    <phoneticPr fontId="13" type="noConversion"/>
  </si>
  <si>
    <t>A570</t>
    <phoneticPr fontId="13" type="noConversion"/>
  </si>
  <si>
    <r>
      <rPr>
        <sz val="10"/>
        <rFont val="宋体"/>
        <family val="3"/>
        <charset val="134"/>
      </rPr>
      <t>释放杆附件</t>
    </r>
    <phoneticPr fontId="14" type="noConversion"/>
  </si>
  <si>
    <t>Elevator Emergency Power Supply</t>
    <phoneticPr fontId="13" type="noConversion"/>
  </si>
  <si>
    <r>
      <rPr>
        <sz val="10"/>
        <rFont val="宋体"/>
        <family val="3"/>
        <charset val="134"/>
      </rPr>
      <t>吊环螺钉</t>
    </r>
    <phoneticPr fontId="14" type="noConversion"/>
  </si>
  <si>
    <t>A010</t>
    <phoneticPr fontId="14" type="noConversion"/>
  </si>
  <si>
    <t>02001</t>
    <phoneticPr fontId="14" type="noConversion"/>
  </si>
  <si>
    <t>液晶显示器</t>
    <phoneticPr fontId="13" type="noConversion"/>
  </si>
  <si>
    <t>Liquid crystal display</t>
    <phoneticPr fontId="13" type="noConversion"/>
  </si>
  <si>
    <r>
      <rPr>
        <sz val="10"/>
        <rFont val="宋体"/>
        <family val="3"/>
        <charset val="134"/>
      </rPr>
      <t>曳引机机架组合</t>
    </r>
    <r>
      <rPr>
        <sz val="6"/>
        <rFont val="TKTypeRegular"/>
        <family val="2"/>
      </rPr>
      <t>/MACHINE BRACKET ASS.</t>
    </r>
    <phoneticPr fontId="14" type="noConversion"/>
  </si>
  <si>
    <r>
      <rPr>
        <sz val="10"/>
        <rFont val="宋体"/>
        <family val="3"/>
        <charset val="134"/>
      </rPr>
      <t>绳轮组件</t>
    </r>
    <r>
      <rPr>
        <sz val="10"/>
        <rFont val="TKTypeRegular"/>
        <family val="2"/>
      </rPr>
      <t/>
    </r>
    <phoneticPr fontId="14" type="noConversion"/>
  </si>
  <si>
    <t>A020</t>
    <phoneticPr fontId="14" type="noConversion"/>
  </si>
  <si>
    <t>02002</t>
    <phoneticPr fontId="14" type="noConversion"/>
  </si>
  <si>
    <r>
      <rPr>
        <sz val="10"/>
        <rFont val="宋体"/>
        <family val="3"/>
        <charset val="134"/>
      </rPr>
      <t>轮轴组件</t>
    </r>
    <phoneticPr fontId="14" type="noConversion"/>
  </si>
  <si>
    <r>
      <rPr>
        <sz val="10"/>
        <rFont val="宋体"/>
        <family val="3"/>
        <charset val="134"/>
      </rPr>
      <t>减震垫</t>
    </r>
    <phoneticPr fontId="14" type="noConversion"/>
  </si>
  <si>
    <t>A080</t>
    <phoneticPr fontId="14" type="noConversion"/>
  </si>
  <si>
    <t>COP(main)</t>
    <phoneticPr fontId="13" type="noConversion"/>
  </si>
  <si>
    <r>
      <rPr>
        <sz val="10"/>
        <rFont val="宋体"/>
        <family val="3"/>
        <charset val="134"/>
      </rPr>
      <t>曳引轮防护罩</t>
    </r>
    <phoneticPr fontId="14" type="noConversion"/>
  </si>
  <si>
    <t>A040</t>
    <phoneticPr fontId="14" type="noConversion"/>
  </si>
  <si>
    <t>COP(sub)</t>
    <phoneticPr fontId="13" type="noConversion"/>
  </si>
  <si>
    <r>
      <rPr>
        <sz val="10"/>
        <rFont val="宋体"/>
        <family val="3"/>
        <charset val="134"/>
      </rPr>
      <t>曳引机机架</t>
    </r>
    <phoneticPr fontId="14" type="noConversion"/>
  </si>
  <si>
    <t>A030</t>
    <phoneticPr fontId="14" type="noConversion"/>
  </si>
  <si>
    <t>召唤显示箱</t>
    <phoneticPr fontId="13" type="noConversion"/>
  </si>
  <si>
    <t>LIOP</t>
    <phoneticPr fontId="13" type="noConversion"/>
  </si>
  <si>
    <t>A210</t>
    <phoneticPr fontId="13" type="noConversion"/>
  </si>
  <si>
    <t>横式显示器</t>
    <phoneticPr fontId="13" type="noConversion"/>
  </si>
  <si>
    <t>Horizontal type display</t>
    <phoneticPr fontId="13" type="noConversion"/>
  </si>
  <si>
    <r>
      <rPr>
        <sz val="10"/>
        <rFont val="宋体"/>
        <family val="3"/>
        <charset val="134"/>
      </rPr>
      <t>导向轮组件</t>
    </r>
    <phoneticPr fontId="14" type="noConversion"/>
  </si>
  <si>
    <r>
      <rPr>
        <sz val="10"/>
        <rFont val="宋体"/>
        <family val="3"/>
        <charset val="134"/>
      </rPr>
      <t>曳引机机架组合</t>
    </r>
    <r>
      <rPr>
        <sz val="6"/>
        <rFont val="TKTypeRegular"/>
        <family val="2"/>
      </rPr>
      <t>/MACHINE BRACKET ASS.</t>
    </r>
    <phoneticPr fontId="14" type="noConversion"/>
  </si>
  <si>
    <r>
      <rPr>
        <sz val="10"/>
        <rFont val="宋体"/>
        <family val="3"/>
        <charset val="134"/>
      </rPr>
      <t>松闸装置</t>
    </r>
    <phoneticPr fontId="14" type="noConversion"/>
  </si>
  <si>
    <t>02003</t>
    <phoneticPr fontId="14" type="noConversion"/>
  </si>
  <si>
    <t>2#-3</t>
    <phoneticPr fontId="14" type="noConversion"/>
  </si>
  <si>
    <r>
      <t>DAF</t>
    </r>
    <r>
      <rPr>
        <sz val="10"/>
        <rFont val="宋体"/>
        <family val="3"/>
        <charset val="134"/>
      </rPr>
      <t>主机用</t>
    </r>
    <phoneticPr fontId="14" type="noConversion"/>
  </si>
  <si>
    <t>A050</t>
    <phoneticPr fontId="14" type="noConversion"/>
  </si>
  <si>
    <t>02004</t>
    <phoneticPr fontId="14" type="noConversion"/>
  </si>
  <si>
    <t>y</t>
    <phoneticPr fontId="13" type="noConversion"/>
  </si>
  <si>
    <t>Profibus DP</t>
    <phoneticPr fontId="13" type="noConversion"/>
  </si>
  <si>
    <r>
      <rPr>
        <sz val="10"/>
        <rFont val="宋体"/>
        <family val="3"/>
        <charset val="134"/>
      </rPr>
      <t>井道部件总成</t>
    </r>
    <r>
      <rPr>
        <sz val="6"/>
        <rFont val="TKTypeRegular"/>
        <family val="2"/>
      </rPr>
      <t>/SHAFT PARTS ASSEMBLY</t>
    </r>
    <phoneticPr fontId="14" type="noConversion"/>
  </si>
  <si>
    <t>A410</t>
    <phoneticPr fontId="14" type="noConversion"/>
  </si>
  <si>
    <t>03001</t>
    <phoneticPr fontId="14" type="noConversion"/>
  </si>
  <si>
    <t>轿门门楣组件</t>
    <phoneticPr fontId="13" type="noConversion"/>
  </si>
  <si>
    <t>y</t>
    <phoneticPr fontId="13" type="noConversion"/>
  </si>
  <si>
    <t>IC卡读卡器/写卡器</t>
    <phoneticPr fontId="13" type="noConversion"/>
  </si>
  <si>
    <t>IC Reader/Writer</t>
    <phoneticPr fontId="13" type="noConversion"/>
  </si>
  <si>
    <t>A730</t>
    <phoneticPr fontId="14" type="noConversion"/>
  </si>
  <si>
    <t>IC Card</t>
    <phoneticPr fontId="13" type="noConversion"/>
  </si>
  <si>
    <t>A260</t>
    <phoneticPr fontId="14" type="noConversion"/>
  </si>
  <si>
    <t>A410</t>
    <phoneticPr fontId="14" type="noConversion"/>
  </si>
  <si>
    <t>03001</t>
    <phoneticPr fontId="14" type="noConversion"/>
  </si>
  <si>
    <t>轿顶护栏组件</t>
    <phoneticPr fontId="13" type="noConversion"/>
  </si>
  <si>
    <t>Car Top Barrier</t>
    <phoneticPr fontId="13" type="noConversion"/>
  </si>
  <si>
    <t xml:space="preserve">Decoration Ceiing </t>
    <phoneticPr fontId="13" type="noConversion"/>
  </si>
  <si>
    <t>装潢扶手</t>
    <phoneticPr fontId="13" type="noConversion"/>
  </si>
  <si>
    <t>Decoration Handrail</t>
    <phoneticPr fontId="13" type="noConversion"/>
  </si>
  <si>
    <t>A690</t>
    <phoneticPr fontId="14" type="noConversion"/>
  </si>
  <si>
    <t>03001</t>
    <phoneticPr fontId="14" type="noConversion"/>
  </si>
  <si>
    <t>Air Conditioner</t>
    <phoneticPr fontId="13" type="noConversion"/>
  </si>
  <si>
    <t>消防返回到位开关组件</t>
    <phoneticPr fontId="14" type="noConversion"/>
  </si>
  <si>
    <t>A730</t>
    <phoneticPr fontId="14" type="noConversion"/>
  </si>
  <si>
    <t>Car Door Lock</t>
    <phoneticPr fontId="13" type="noConversion"/>
  </si>
  <si>
    <t>A240</t>
    <phoneticPr fontId="14" type="noConversion"/>
  </si>
  <si>
    <t>平衡块</t>
    <phoneticPr fontId="14" type="noConversion"/>
  </si>
  <si>
    <t>A440</t>
    <phoneticPr fontId="14" type="noConversion"/>
  </si>
  <si>
    <t>03001</t>
    <phoneticPr fontId="14" type="noConversion"/>
  </si>
  <si>
    <t>A480</t>
    <phoneticPr fontId="14" type="noConversion"/>
  </si>
  <si>
    <r>
      <rPr>
        <sz val="10"/>
        <rFont val="宋体"/>
        <family val="3"/>
        <charset val="134"/>
      </rPr>
      <t>安装座</t>
    </r>
    <phoneticPr fontId="14" type="noConversion"/>
  </si>
  <si>
    <t>轿底组件</t>
    <phoneticPr fontId="14" type="noConversion"/>
  </si>
  <si>
    <t>钢丝绳木夹</t>
    <phoneticPr fontId="14" type="noConversion"/>
  </si>
  <si>
    <t>钢丝绳防锈油</t>
    <phoneticPr fontId="14" type="noConversion"/>
  </si>
  <si>
    <t>Antirust oil</t>
    <phoneticPr fontId="13" type="noConversion"/>
  </si>
  <si>
    <t>A750</t>
    <phoneticPr fontId="14" type="noConversion"/>
  </si>
  <si>
    <t>15000</t>
    <phoneticPr fontId="14" type="noConversion"/>
  </si>
  <si>
    <r>
      <rPr>
        <sz val="10"/>
        <rFont val="宋体"/>
        <family val="3"/>
        <charset val="134"/>
      </rPr>
      <t>油压阻尼器</t>
    </r>
    <phoneticPr fontId="14" type="noConversion"/>
  </si>
  <si>
    <t>Hydraulic Dampers</t>
    <phoneticPr fontId="13" type="noConversion"/>
  </si>
  <si>
    <t>随行电缆保护装置</t>
    <phoneticPr fontId="14" type="noConversion"/>
  </si>
  <si>
    <t>轿厢架</t>
    <phoneticPr fontId="14" type="noConversion"/>
  </si>
  <si>
    <t>导轨座</t>
    <phoneticPr fontId="14" type="noConversion"/>
  </si>
  <si>
    <t>Guide Rail Base</t>
    <phoneticPr fontId="13" type="noConversion"/>
  </si>
  <si>
    <t>补偿绳张紧装置组件</t>
    <phoneticPr fontId="14" type="noConversion"/>
  </si>
  <si>
    <t>导轨油</t>
    <phoneticPr fontId="14" type="noConversion"/>
  </si>
  <si>
    <t>A620</t>
    <phoneticPr fontId="14" type="noConversion"/>
  </si>
  <si>
    <t>03001</t>
    <phoneticPr fontId="14" type="noConversion"/>
  </si>
  <si>
    <t>y</t>
    <phoneticPr fontId="13" type="noConversion"/>
  </si>
  <si>
    <r>
      <rPr>
        <sz val="10"/>
        <rFont val="宋体"/>
        <family val="3"/>
        <charset val="134"/>
      </rPr>
      <t>钢丝绳</t>
    </r>
    <r>
      <rPr>
        <sz val="10"/>
        <rFont val="TKTypeRegular"/>
        <family val="2"/>
      </rPr>
      <t xml:space="preserve"> </t>
    </r>
    <r>
      <rPr>
        <sz val="10"/>
        <rFont val="宋体"/>
        <family val="3"/>
        <charset val="134"/>
      </rPr>
      <t>φ</t>
    </r>
    <r>
      <rPr>
        <sz val="10"/>
        <rFont val="TKTypeRegular"/>
        <family val="2"/>
      </rPr>
      <t>3</t>
    </r>
    <phoneticPr fontId="13" type="noConversion"/>
  </si>
  <si>
    <r>
      <t xml:space="preserve">rope  </t>
    </r>
    <r>
      <rPr>
        <sz val="10"/>
        <rFont val="宋体"/>
        <family val="3"/>
        <charset val="134"/>
      </rPr>
      <t>φ</t>
    </r>
    <r>
      <rPr>
        <sz val="10"/>
        <rFont val="TKTypeRegular"/>
        <family val="2"/>
      </rPr>
      <t>3</t>
    </r>
    <phoneticPr fontId="13" type="noConversion"/>
  </si>
  <si>
    <t>A750</t>
    <phoneticPr fontId="13" type="noConversion"/>
  </si>
  <si>
    <r>
      <rPr>
        <sz val="10"/>
        <rFont val="宋体"/>
        <family val="3"/>
        <charset val="134"/>
      </rPr>
      <t>光选层器开关</t>
    </r>
    <r>
      <rPr>
        <sz val="10"/>
        <rFont val="TKTypeRegular"/>
        <family val="2"/>
      </rPr>
      <t/>
    </r>
    <phoneticPr fontId="14" type="noConversion"/>
  </si>
  <si>
    <t>A410</t>
    <phoneticPr fontId="14" type="noConversion"/>
  </si>
  <si>
    <r>
      <rPr>
        <sz val="10"/>
        <rFont val="宋体"/>
        <family val="3"/>
        <charset val="134"/>
      </rPr>
      <t>磁平曾感应开关</t>
    </r>
    <phoneticPr fontId="14" type="noConversion"/>
  </si>
  <si>
    <r>
      <t xml:space="preserve">BOLT </t>
    </r>
    <r>
      <rPr>
        <sz val="10"/>
        <rFont val="宋体"/>
        <family val="3"/>
        <charset val="134"/>
      </rPr>
      <t>板接线盒</t>
    </r>
    <phoneticPr fontId="14" type="noConversion"/>
  </si>
  <si>
    <r>
      <rPr>
        <sz val="10"/>
        <rFont val="宋体"/>
        <family val="3"/>
        <charset val="134"/>
      </rPr>
      <t>井道部件总成</t>
    </r>
    <r>
      <rPr>
        <sz val="6"/>
        <rFont val="TKTypeRegular"/>
        <family val="2"/>
      </rPr>
      <t>/SHAFT PARTS ASSEMBLY</t>
    </r>
    <phoneticPr fontId="14" type="noConversion"/>
  </si>
  <si>
    <t>导轨支架</t>
    <phoneticPr fontId="14" type="noConversion"/>
  </si>
  <si>
    <t>A730</t>
    <phoneticPr fontId="14" type="noConversion"/>
  </si>
  <si>
    <t>03002</t>
    <phoneticPr fontId="14" type="noConversion"/>
  </si>
  <si>
    <t>3#-2</t>
    <phoneticPr fontId="14" type="noConversion"/>
  </si>
  <si>
    <t>补偿绳张紧重导轨底座组件</t>
    <phoneticPr fontId="13" type="noConversion"/>
  </si>
  <si>
    <t>门锁检测盒</t>
    <phoneticPr fontId="14" type="noConversion"/>
  </si>
  <si>
    <r>
      <rPr>
        <sz val="10"/>
        <rFont val="宋体"/>
        <family val="3"/>
        <charset val="134"/>
      </rPr>
      <t>油压阻尼器</t>
    </r>
    <phoneticPr fontId="14" type="noConversion"/>
  </si>
  <si>
    <t>03003</t>
    <phoneticPr fontId="14" type="noConversion"/>
  </si>
  <si>
    <t>3#-3</t>
    <phoneticPr fontId="14" type="noConversion"/>
  </si>
  <si>
    <t>对重块</t>
    <phoneticPr fontId="13" type="noConversion"/>
  </si>
  <si>
    <t>缓冲器底座</t>
    <phoneticPr fontId="13" type="noConversion"/>
  </si>
  <si>
    <t>Buffer Support</t>
    <phoneticPr fontId="13" type="noConversion"/>
  </si>
  <si>
    <r>
      <rPr>
        <sz val="10"/>
        <rFont val="宋体"/>
        <family val="3"/>
        <charset val="134"/>
      </rPr>
      <t>补偿绳张紧装置组件</t>
    </r>
    <phoneticPr fontId="14" type="noConversion"/>
  </si>
  <si>
    <t>A300</t>
    <phoneticPr fontId="14" type="noConversion"/>
  </si>
  <si>
    <t>03003</t>
    <phoneticPr fontId="14" type="noConversion"/>
  </si>
  <si>
    <t>3#-3</t>
    <phoneticPr fontId="14" type="noConversion"/>
  </si>
  <si>
    <t>A500</t>
    <phoneticPr fontId="13" type="noConversion"/>
  </si>
  <si>
    <t>10001</t>
    <phoneticPr fontId="13" type="noConversion"/>
  </si>
  <si>
    <r>
      <rPr>
        <sz val="10"/>
        <rFont val="宋体"/>
        <family val="3"/>
        <charset val="134"/>
      </rPr>
      <t>井道部件总成</t>
    </r>
    <r>
      <rPr>
        <sz val="6"/>
        <rFont val="TKTypeRegular"/>
        <family val="2"/>
      </rPr>
      <t>/SHAFT PARTS ASSEMBLY</t>
    </r>
    <phoneticPr fontId="14" type="noConversion"/>
  </si>
  <si>
    <r>
      <rPr>
        <sz val="10"/>
        <rFont val="宋体"/>
        <family val="3"/>
        <charset val="134"/>
      </rPr>
      <t>补偿绳张紧装置横梁</t>
    </r>
    <phoneticPr fontId="14" type="noConversion"/>
  </si>
  <si>
    <t>03004</t>
    <phoneticPr fontId="14" type="noConversion"/>
  </si>
  <si>
    <t>3#-4</t>
    <phoneticPr fontId="14" type="noConversion"/>
  </si>
  <si>
    <t>轿厢操纵箱</t>
    <phoneticPr fontId="13" type="noConversion"/>
  </si>
  <si>
    <t>COP</t>
    <phoneticPr fontId="13" type="noConversion"/>
  </si>
  <si>
    <r>
      <rPr>
        <sz val="10"/>
        <rFont val="宋体"/>
        <family val="3"/>
        <charset val="134"/>
      </rPr>
      <t>导轨总成</t>
    </r>
    <r>
      <rPr>
        <sz val="10"/>
        <rFont val="TKTypeRegular"/>
        <family val="2"/>
      </rPr>
      <t xml:space="preserve">             </t>
    </r>
    <r>
      <rPr>
        <sz val="6"/>
        <rFont val="TKTypeRegular"/>
        <family val="2"/>
      </rPr>
      <t>/GUIDE RAIL ASSEMBLY</t>
    </r>
    <phoneticPr fontId="14" type="noConversion"/>
  </si>
  <si>
    <r>
      <rPr>
        <sz val="10"/>
        <rFont val="宋体"/>
        <family val="3"/>
        <charset val="134"/>
      </rPr>
      <t>轿厢导轨</t>
    </r>
    <phoneticPr fontId="14" type="noConversion"/>
  </si>
  <si>
    <t>A680</t>
    <phoneticPr fontId="14" type="noConversion"/>
  </si>
  <si>
    <t>04001</t>
    <phoneticPr fontId="14" type="noConversion"/>
  </si>
  <si>
    <t>4#-1</t>
    <phoneticPr fontId="14" type="noConversion"/>
  </si>
  <si>
    <t>轿门安全保护装置</t>
    <phoneticPr fontId="14" type="noConversion"/>
  </si>
  <si>
    <t>Car Handrail</t>
    <phoneticPr fontId="13" type="noConversion"/>
  </si>
  <si>
    <r>
      <rPr>
        <sz val="10"/>
        <rFont val="宋体"/>
        <family val="3"/>
        <charset val="134"/>
      </rPr>
      <t>轿厢导轨附件</t>
    </r>
    <phoneticPr fontId="14" type="noConversion"/>
  </si>
  <si>
    <t>A700</t>
    <phoneticPr fontId="14" type="noConversion"/>
  </si>
  <si>
    <t>安全触板</t>
    <phoneticPr fontId="14" type="noConversion"/>
  </si>
  <si>
    <t>LOP</t>
    <phoneticPr fontId="13" type="noConversion"/>
  </si>
  <si>
    <r>
      <rPr>
        <sz val="10"/>
        <rFont val="宋体"/>
        <family val="3"/>
        <charset val="134"/>
      </rPr>
      <t>对重导轨</t>
    </r>
    <phoneticPr fontId="14" type="noConversion"/>
  </si>
  <si>
    <t>对重块</t>
    <phoneticPr fontId="13" type="noConversion"/>
  </si>
  <si>
    <t>Counterweight Block</t>
    <phoneticPr fontId="13" type="noConversion"/>
  </si>
  <si>
    <t>A760</t>
    <phoneticPr fontId="14" type="noConversion"/>
  </si>
  <si>
    <r>
      <rPr>
        <sz val="10"/>
        <rFont val="宋体"/>
        <family val="3"/>
        <charset val="134"/>
      </rPr>
      <t>对重导轨附件</t>
    </r>
    <phoneticPr fontId="14" type="noConversion"/>
  </si>
  <si>
    <t>轿壁</t>
    <phoneticPr fontId="13" type="noConversion"/>
  </si>
  <si>
    <t>Car Panel</t>
    <phoneticPr fontId="13" type="noConversion"/>
  </si>
  <si>
    <r>
      <rPr>
        <sz val="10"/>
        <rFont val="宋体"/>
        <family val="3"/>
        <charset val="134"/>
      </rPr>
      <t>导轨</t>
    </r>
    <r>
      <rPr>
        <sz val="10"/>
        <rFont val="TKTypeRegular"/>
        <family val="2"/>
      </rPr>
      <t xml:space="preserve"> TD65</t>
    </r>
    <phoneticPr fontId="14" type="noConversion"/>
  </si>
  <si>
    <t>04002</t>
    <phoneticPr fontId="14" type="noConversion"/>
  </si>
  <si>
    <t>4#-2</t>
    <phoneticPr fontId="14" type="noConversion"/>
  </si>
  <si>
    <t>Top Guide Rail</t>
    <phoneticPr fontId="13" type="noConversion"/>
  </si>
  <si>
    <t>A680</t>
    <phoneticPr fontId="13" type="noConversion"/>
  </si>
  <si>
    <t>04000</t>
    <phoneticPr fontId="13" type="noConversion"/>
  </si>
  <si>
    <r>
      <rPr>
        <sz val="10"/>
        <rFont val="宋体"/>
        <family val="3"/>
        <charset val="134"/>
      </rPr>
      <t>导轨附件</t>
    </r>
    <r>
      <rPr>
        <sz val="10"/>
        <rFont val="TKTypeRegular"/>
        <family val="2"/>
      </rPr>
      <t xml:space="preserve"> TD65</t>
    </r>
    <phoneticPr fontId="14" type="noConversion"/>
  </si>
  <si>
    <t>厅门显示箱</t>
    <phoneticPr fontId="13" type="noConversion"/>
  </si>
  <si>
    <t>LIP</t>
    <phoneticPr fontId="13" type="noConversion"/>
  </si>
  <si>
    <t>A210</t>
    <phoneticPr fontId="13" type="noConversion"/>
  </si>
  <si>
    <t>08001</t>
    <phoneticPr fontId="13" type="noConversion"/>
  </si>
  <si>
    <r>
      <rPr>
        <sz val="10"/>
        <rFont val="宋体"/>
        <family val="3"/>
        <charset val="134"/>
      </rPr>
      <t>厅门门板组件</t>
    </r>
    <r>
      <rPr>
        <sz val="6"/>
        <rFont val="TKTypeRegular"/>
        <family val="2"/>
      </rPr>
      <t>/LANDING DOOR ASS'Y</t>
    </r>
    <phoneticPr fontId="14" type="noConversion"/>
  </si>
  <si>
    <t>A520</t>
    <phoneticPr fontId="14" type="noConversion"/>
  </si>
  <si>
    <t>05001</t>
    <phoneticPr fontId="14" type="noConversion"/>
  </si>
  <si>
    <t>S200</t>
    <phoneticPr fontId="14" type="noConversion"/>
  </si>
  <si>
    <r>
      <rPr>
        <sz val="10"/>
        <rFont val="宋体"/>
        <family val="3"/>
        <charset val="134"/>
      </rPr>
      <t>小门套</t>
    </r>
    <phoneticPr fontId="14" type="noConversion"/>
  </si>
  <si>
    <t>05001</t>
    <phoneticPr fontId="14" type="noConversion"/>
  </si>
  <si>
    <t>S200</t>
    <phoneticPr fontId="14" type="noConversion"/>
  </si>
  <si>
    <t>A520</t>
    <phoneticPr fontId="14" type="noConversion"/>
  </si>
  <si>
    <t>厅门门楣组件</t>
    <phoneticPr fontId="14" type="noConversion"/>
  </si>
  <si>
    <t>控制柜</t>
    <phoneticPr fontId="13" type="noConversion"/>
  </si>
  <si>
    <t>门套左立柱</t>
    <phoneticPr fontId="14" type="noConversion"/>
  </si>
  <si>
    <t>轿门安装附件</t>
    <phoneticPr fontId="14" type="noConversion"/>
  </si>
  <si>
    <t>门套右立柱</t>
    <phoneticPr fontId="14" type="noConversion"/>
  </si>
  <si>
    <t>厅门装置</t>
    <phoneticPr fontId="14" type="noConversion"/>
  </si>
  <si>
    <t>厅门右门</t>
    <phoneticPr fontId="14" type="noConversion"/>
  </si>
  <si>
    <t>S8</t>
    <phoneticPr fontId="14" type="noConversion"/>
  </si>
  <si>
    <t>厅门左门</t>
    <phoneticPr fontId="14" type="noConversion"/>
  </si>
  <si>
    <t>厅门门柱组件</t>
    <phoneticPr fontId="14" type="noConversion"/>
  </si>
  <si>
    <t>厅门装饰门框</t>
    <phoneticPr fontId="14" type="noConversion"/>
  </si>
  <si>
    <r>
      <rPr>
        <sz val="10"/>
        <rFont val="宋体"/>
        <family val="3"/>
        <charset val="134"/>
      </rPr>
      <t>厅门悬挂组件</t>
    </r>
    <r>
      <rPr>
        <sz val="6"/>
        <rFont val="TKTypeRegular"/>
        <family val="2"/>
      </rPr>
      <t>/LANDING DOOR ASS'Y</t>
    </r>
    <phoneticPr fontId="14" type="noConversion"/>
  </si>
  <si>
    <t>厅门悬挂组件</t>
    <phoneticPr fontId="14" type="noConversion"/>
  </si>
  <si>
    <t>A150</t>
    <phoneticPr fontId="14" type="noConversion"/>
  </si>
  <si>
    <t>05002</t>
    <phoneticPr fontId="14" type="noConversion"/>
  </si>
  <si>
    <t>厅门地坎托架</t>
    <phoneticPr fontId="14" type="noConversion"/>
  </si>
  <si>
    <t>A200</t>
    <phoneticPr fontId="14" type="noConversion"/>
  </si>
  <si>
    <t>厅门护脚板</t>
    <phoneticPr fontId="14" type="noConversion"/>
  </si>
  <si>
    <t>A220</t>
    <phoneticPr fontId="14" type="noConversion"/>
  </si>
  <si>
    <t>厅门安装附件</t>
    <phoneticPr fontId="14" type="noConversion"/>
  </si>
  <si>
    <t>门地坎</t>
    <phoneticPr fontId="14" type="noConversion"/>
  </si>
  <si>
    <t>A200</t>
    <phoneticPr fontId="14" type="noConversion"/>
  </si>
  <si>
    <t>厅门悬挂组件地坎托架安装附件</t>
    <phoneticPr fontId="14" type="noConversion"/>
  </si>
  <si>
    <t>厅门地坎托架</t>
    <phoneticPr fontId="14" type="noConversion"/>
  </si>
  <si>
    <r>
      <rPr>
        <sz val="10"/>
        <rFont val="宋体"/>
        <family val="3"/>
        <charset val="134"/>
      </rPr>
      <t>安全部件组件</t>
    </r>
    <r>
      <rPr>
        <sz val="6"/>
        <rFont val="TKTypeRegular"/>
        <family val="2"/>
      </rPr>
      <t>/SAFETY PARTS</t>
    </r>
    <phoneticPr fontId="14" type="noConversion"/>
  </si>
  <si>
    <r>
      <rPr>
        <sz val="10"/>
        <rFont val="宋体"/>
        <family val="3"/>
        <charset val="134"/>
      </rPr>
      <t>聚氨酯缓冲器</t>
    </r>
    <phoneticPr fontId="14" type="noConversion"/>
  </si>
  <si>
    <t>A230</t>
    <phoneticPr fontId="14" type="noConversion"/>
  </si>
  <si>
    <t>06000</t>
    <phoneticPr fontId="14" type="noConversion"/>
  </si>
  <si>
    <r>
      <t>(</t>
    </r>
    <r>
      <rPr>
        <sz val="10"/>
        <rFont val="宋体"/>
        <family val="3"/>
        <charset val="134"/>
      </rPr>
      <t>含轿厢侧、对重侧）</t>
    </r>
    <phoneticPr fontId="14" type="noConversion"/>
  </si>
  <si>
    <t>控制板</t>
    <phoneticPr fontId="14" type="noConversion"/>
  </si>
  <si>
    <r>
      <rPr>
        <sz val="10"/>
        <rFont val="宋体"/>
        <family val="3"/>
        <charset val="134"/>
      </rPr>
      <t>限速器</t>
    </r>
    <r>
      <rPr>
        <sz val="10"/>
        <rFont val="TKTypeRegular"/>
        <family val="2"/>
      </rPr>
      <t/>
    </r>
    <phoneticPr fontId="14" type="noConversion"/>
  </si>
  <si>
    <t>A460</t>
    <phoneticPr fontId="14" type="noConversion"/>
  </si>
  <si>
    <t>曳引机铭牌</t>
    <phoneticPr fontId="14" type="noConversion"/>
  </si>
  <si>
    <r>
      <rPr>
        <sz val="10"/>
        <rFont val="宋体"/>
        <family val="3"/>
        <charset val="134"/>
      </rPr>
      <t>安全钳</t>
    </r>
    <r>
      <rPr>
        <sz val="10"/>
        <rFont val="TKTypeRegular"/>
        <family val="2"/>
      </rPr>
      <t/>
    </r>
    <phoneticPr fontId="14" type="noConversion"/>
  </si>
  <si>
    <t>A280</t>
    <phoneticPr fontId="14" type="noConversion"/>
  </si>
  <si>
    <t>张紧装置附件</t>
    <phoneticPr fontId="14" type="noConversion"/>
  </si>
  <si>
    <t>对重限速器</t>
    <phoneticPr fontId="14" type="noConversion"/>
  </si>
  <si>
    <r>
      <rPr>
        <sz val="10"/>
        <rFont val="宋体"/>
        <family val="3"/>
        <charset val="134"/>
      </rPr>
      <t>对重限速器张紧装置</t>
    </r>
    <phoneticPr fontId="14" type="noConversion"/>
  </si>
  <si>
    <r>
      <rPr>
        <sz val="10"/>
        <rFont val="宋体"/>
        <family val="3"/>
        <charset val="134"/>
      </rPr>
      <t>对重安全钳</t>
    </r>
    <phoneticPr fontId="14" type="noConversion"/>
  </si>
  <si>
    <r>
      <rPr>
        <sz val="10"/>
        <rFont val="宋体"/>
        <family val="3"/>
        <charset val="134"/>
      </rPr>
      <t>液压缓冲器</t>
    </r>
    <phoneticPr fontId="14" type="noConversion"/>
  </si>
  <si>
    <t>6#-1</t>
    <phoneticPr fontId="14" type="noConversion"/>
  </si>
  <si>
    <t>极限开关组件</t>
    <phoneticPr fontId="14" type="noConversion"/>
  </si>
  <si>
    <r>
      <rPr>
        <sz val="10"/>
        <rFont val="宋体"/>
        <family val="3"/>
        <charset val="134"/>
      </rPr>
      <t>液压缓冲器油</t>
    </r>
    <phoneticPr fontId="14" type="noConversion"/>
  </si>
  <si>
    <t>A250</t>
    <phoneticPr fontId="14" type="noConversion"/>
  </si>
  <si>
    <r>
      <rPr>
        <sz val="10"/>
        <rFont val="宋体"/>
        <family val="3"/>
        <charset val="134"/>
      </rPr>
      <t>断电平层组件</t>
    </r>
    <r>
      <rPr>
        <sz val="6"/>
        <rFont val="TKTypeRegular"/>
        <family val="2"/>
      </rPr>
      <t>/POWER-OFF LEVELING</t>
    </r>
    <phoneticPr fontId="14" type="noConversion"/>
  </si>
  <si>
    <r>
      <rPr>
        <sz val="10"/>
        <rFont val="宋体"/>
        <family val="3"/>
        <charset val="134"/>
      </rPr>
      <t>自动救援装置</t>
    </r>
    <phoneticPr fontId="14" type="noConversion"/>
  </si>
  <si>
    <t>A660</t>
    <phoneticPr fontId="14" type="noConversion"/>
  </si>
  <si>
    <t>07000</t>
    <phoneticPr fontId="14" type="noConversion"/>
  </si>
  <si>
    <r>
      <rPr>
        <sz val="10"/>
        <rFont val="宋体"/>
        <family val="3"/>
        <charset val="134"/>
      </rPr>
      <t>自动救援装置电源</t>
    </r>
    <phoneticPr fontId="14" type="noConversion"/>
  </si>
  <si>
    <r>
      <rPr>
        <sz val="10"/>
        <rFont val="宋体"/>
        <family val="3"/>
        <charset val="134"/>
      </rPr>
      <t>井道电缆总成</t>
    </r>
    <r>
      <rPr>
        <sz val="6"/>
        <rFont val="TKTypeRegular"/>
        <family val="2"/>
      </rPr>
      <t>/CABLE ASSEMBLY</t>
    </r>
    <phoneticPr fontId="14" type="noConversion"/>
  </si>
  <si>
    <r>
      <rPr>
        <sz val="10"/>
        <rFont val="宋体"/>
        <family val="3"/>
        <charset val="134"/>
      </rPr>
      <t>井道电线电缆</t>
    </r>
    <phoneticPr fontId="14" type="noConversion"/>
  </si>
  <si>
    <t>A670</t>
    <phoneticPr fontId="14" type="noConversion"/>
  </si>
  <si>
    <t>08001</t>
    <phoneticPr fontId="14" type="noConversion"/>
  </si>
  <si>
    <r>
      <rPr>
        <sz val="10"/>
        <rFont val="宋体"/>
        <family val="3"/>
        <charset val="134"/>
      </rPr>
      <t>所有的线缆</t>
    </r>
    <r>
      <rPr>
        <sz val="10"/>
        <rFont val="TKTypeRegular"/>
        <family val="2"/>
      </rPr>
      <t>(</t>
    </r>
    <r>
      <rPr>
        <sz val="10"/>
        <rFont val="宋体"/>
        <family val="3"/>
        <charset val="134"/>
      </rPr>
      <t>特殊部件除外</t>
    </r>
    <r>
      <rPr>
        <sz val="10"/>
        <rFont val="TKTypeRegular"/>
        <family val="2"/>
      </rPr>
      <t>)</t>
    </r>
    <phoneticPr fontId="14" type="noConversion"/>
  </si>
  <si>
    <t>轿厢操纵箱</t>
    <phoneticPr fontId="14" type="noConversion"/>
  </si>
  <si>
    <r>
      <rPr>
        <sz val="10"/>
        <rFont val="宋体"/>
        <family val="3"/>
        <charset val="134"/>
      </rPr>
      <t>群控通讯电缆</t>
    </r>
    <phoneticPr fontId="14" type="noConversion"/>
  </si>
  <si>
    <r>
      <rPr>
        <sz val="10"/>
        <rFont val="宋体"/>
        <family val="3"/>
        <charset val="134"/>
      </rPr>
      <t>主电源电缆</t>
    </r>
    <phoneticPr fontId="14" type="noConversion"/>
  </si>
  <si>
    <r>
      <rPr>
        <sz val="10"/>
        <rFont val="宋体"/>
        <family val="3"/>
        <charset val="134"/>
      </rPr>
      <t>动力电缆</t>
    </r>
    <phoneticPr fontId="14" type="noConversion"/>
  </si>
  <si>
    <t>A670</t>
    <phoneticPr fontId="14" type="noConversion"/>
  </si>
  <si>
    <t>08001</t>
    <phoneticPr fontId="14" type="noConversion"/>
  </si>
  <si>
    <r>
      <rPr>
        <sz val="10"/>
        <rFont val="宋体"/>
        <family val="3"/>
        <charset val="134"/>
      </rPr>
      <t>制动器检测开关电缆</t>
    </r>
    <phoneticPr fontId="14" type="noConversion"/>
  </si>
  <si>
    <r>
      <t xml:space="preserve">BOLT </t>
    </r>
    <r>
      <rPr>
        <sz val="10"/>
        <rFont val="宋体"/>
        <family val="3"/>
        <charset val="134"/>
      </rPr>
      <t>板接线盒</t>
    </r>
    <phoneticPr fontId="14" type="noConversion"/>
  </si>
  <si>
    <t>A710</t>
    <phoneticPr fontId="14" type="noConversion"/>
  </si>
  <si>
    <t>8#-1</t>
    <phoneticPr fontId="14" type="noConversion"/>
  </si>
  <si>
    <t>召唤显示箱</t>
    <phoneticPr fontId="14" type="noConversion"/>
  </si>
  <si>
    <t>轿门锁电缆</t>
    <phoneticPr fontId="14" type="noConversion"/>
  </si>
  <si>
    <t>K8</t>
    <phoneticPr fontId="14" type="noConversion"/>
  </si>
  <si>
    <r>
      <rPr>
        <sz val="10"/>
        <rFont val="宋体"/>
        <family val="3"/>
        <charset val="134"/>
      </rPr>
      <t>轿厢操纵箱</t>
    </r>
    <r>
      <rPr>
        <sz val="10"/>
        <rFont val="TKTypeRegular"/>
        <family val="2"/>
      </rPr>
      <t xml:space="preserve">                </t>
    </r>
    <r>
      <rPr>
        <sz val="6"/>
        <rFont val="TKTypeRegular"/>
        <family val="2"/>
      </rPr>
      <t>/CAR CONTROL PANEL</t>
    </r>
    <phoneticPr fontId="14" type="noConversion"/>
  </si>
  <si>
    <r>
      <rPr>
        <sz val="10"/>
        <rFont val="宋体"/>
        <family val="3"/>
        <charset val="134"/>
      </rPr>
      <t>主操纵箱</t>
    </r>
    <phoneticPr fontId="14" type="noConversion"/>
  </si>
  <si>
    <t>A570</t>
    <phoneticPr fontId="14" type="noConversion"/>
  </si>
  <si>
    <t>08002</t>
    <phoneticPr fontId="14" type="noConversion"/>
  </si>
  <si>
    <t>8#-2</t>
    <phoneticPr fontId="14" type="noConversion"/>
  </si>
  <si>
    <t>操纵箱</t>
    <phoneticPr fontId="14" type="noConversion"/>
  </si>
  <si>
    <r>
      <rPr>
        <sz val="10"/>
        <rFont val="宋体"/>
        <family val="3"/>
        <charset val="134"/>
      </rPr>
      <t>副操纵箱</t>
    </r>
    <phoneticPr fontId="14" type="noConversion"/>
  </si>
  <si>
    <r>
      <rPr>
        <sz val="10"/>
        <rFont val="宋体"/>
        <family val="3"/>
        <charset val="134"/>
      </rPr>
      <t>扎线带</t>
    </r>
    <phoneticPr fontId="14" type="noConversion"/>
  </si>
  <si>
    <t>08004</t>
    <phoneticPr fontId="14" type="noConversion"/>
  </si>
  <si>
    <t>8#-4</t>
    <phoneticPr fontId="14" type="noConversion"/>
  </si>
  <si>
    <t>A430</t>
    <phoneticPr fontId="14" type="noConversion"/>
  </si>
  <si>
    <r>
      <rPr>
        <sz val="10"/>
        <rFont val="宋体"/>
        <family val="3"/>
        <charset val="134"/>
      </rPr>
      <t>井道电缆夹</t>
    </r>
    <phoneticPr fontId="14" type="noConversion"/>
  </si>
  <si>
    <t>A710</t>
    <phoneticPr fontId="14" type="noConversion"/>
  </si>
  <si>
    <r>
      <rPr>
        <sz val="10"/>
        <rFont val="宋体"/>
        <family val="3"/>
        <charset val="134"/>
      </rPr>
      <t>蜂鸣器</t>
    </r>
    <phoneticPr fontId="14" type="noConversion"/>
  </si>
  <si>
    <r>
      <rPr>
        <sz val="10"/>
        <rFont val="宋体"/>
        <family val="3"/>
        <charset val="134"/>
      </rPr>
      <t>金属软管</t>
    </r>
    <r>
      <rPr>
        <sz val="10"/>
        <rFont val="TKTypeRegular"/>
        <family val="2"/>
      </rPr>
      <t/>
    </r>
    <phoneticPr fontId="14" type="noConversion"/>
  </si>
  <si>
    <t>钢丝绳夹</t>
    <phoneticPr fontId="14" type="noConversion"/>
  </si>
  <si>
    <t>线槽及安装附件</t>
    <phoneticPr fontId="14" type="noConversion"/>
  </si>
  <si>
    <r>
      <rPr>
        <sz val="10"/>
        <rFont val="宋体"/>
        <family val="3"/>
        <charset val="134"/>
      </rPr>
      <t>钢丝绳</t>
    </r>
    <r>
      <rPr>
        <sz val="10"/>
        <rFont val="TKTypeRegular"/>
        <family val="2"/>
      </rPr>
      <t xml:space="preserve"> </t>
    </r>
    <r>
      <rPr>
        <sz val="10"/>
        <rFont val="宋体"/>
        <family val="3"/>
        <charset val="134"/>
      </rPr>
      <t>φ</t>
    </r>
    <r>
      <rPr>
        <sz val="10"/>
        <rFont val="TKTypeRegular"/>
        <family val="2"/>
      </rPr>
      <t>3</t>
    </r>
    <phoneticPr fontId="14" type="noConversion"/>
  </si>
  <si>
    <r>
      <rPr>
        <sz val="10"/>
        <rFont val="宋体"/>
        <family val="3"/>
        <charset val="134"/>
      </rPr>
      <t>总线制监控主机</t>
    </r>
    <r>
      <rPr>
        <sz val="10"/>
        <rFont val="TKTypeRegular"/>
        <family val="2"/>
      </rPr>
      <t>/</t>
    </r>
    <r>
      <rPr>
        <sz val="10"/>
        <rFont val="宋体"/>
        <family val="3"/>
        <charset val="134"/>
      </rPr>
      <t>分线制多局主机</t>
    </r>
    <r>
      <rPr>
        <sz val="10"/>
        <rFont val="TKTypeRegular"/>
        <family val="2"/>
      </rPr>
      <t>/</t>
    </r>
    <r>
      <rPr>
        <sz val="10"/>
        <rFont val="宋体"/>
        <family val="3"/>
        <charset val="134"/>
      </rPr>
      <t>对讲机</t>
    </r>
    <phoneticPr fontId="14" type="noConversion"/>
  </si>
  <si>
    <t>上面板组件</t>
    <phoneticPr fontId="14" type="noConversion"/>
  </si>
  <si>
    <r>
      <t>12#-</t>
    </r>
    <r>
      <rPr>
        <sz val="11"/>
        <color theme="1"/>
        <rFont val="宋体"/>
        <family val="3"/>
        <charset val="134"/>
        <scheme val="minor"/>
      </rPr>
      <t>3</t>
    </r>
    <phoneticPr fontId="14" type="noConversion"/>
  </si>
  <si>
    <r>
      <t>1200</t>
    </r>
    <r>
      <rPr>
        <sz val="11"/>
        <color theme="1"/>
        <rFont val="宋体"/>
        <family val="3"/>
        <charset val="134"/>
        <scheme val="minor"/>
      </rPr>
      <t>3</t>
    </r>
    <phoneticPr fontId="14" type="noConversion"/>
  </si>
  <si>
    <r>
      <t xml:space="preserve">LCD </t>
    </r>
    <r>
      <rPr>
        <sz val="10"/>
        <rFont val="宋体"/>
        <family val="3"/>
        <charset val="134"/>
      </rPr>
      <t>液晶显示器</t>
    </r>
    <phoneticPr fontId="14" type="noConversion"/>
  </si>
  <si>
    <t>A140</t>
    <phoneticPr fontId="14" type="noConversion"/>
  </si>
  <si>
    <r>
      <t>12#-</t>
    </r>
    <r>
      <rPr>
        <sz val="11"/>
        <color theme="1"/>
        <rFont val="宋体"/>
        <family val="3"/>
        <charset val="134"/>
        <scheme val="minor"/>
      </rPr>
      <t>4</t>
    </r>
    <phoneticPr fontId="14" type="noConversion"/>
  </si>
  <si>
    <r>
      <t>1200</t>
    </r>
    <r>
      <rPr>
        <sz val="11"/>
        <color theme="1"/>
        <rFont val="宋体"/>
        <family val="3"/>
        <charset val="134"/>
        <scheme val="minor"/>
      </rPr>
      <t>4</t>
    </r>
    <phoneticPr fontId="14" type="noConversion"/>
  </si>
  <si>
    <r>
      <rPr>
        <sz val="10"/>
        <rFont val="宋体"/>
        <family val="3"/>
        <charset val="134"/>
      </rPr>
      <t>残疾人</t>
    </r>
    <r>
      <rPr>
        <sz val="10"/>
        <rFont val="TKTypeRegular"/>
        <family val="2"/>
      </rPr>
      <t>COP</t>
    </r>
    <phoneticPr fontId="14" type="noConversion"/>
  </si>
  <si>
    <r>
      <rPr>
        <sz val="10"/>
        <rFont val="宋体"/>
        <family val="3"/>
        <charset val="134"/>
      </rPr>
      <t>警铃</t>
    </r>
    <phoneticPr fontId="14" type="noConversion"/>
  </si>
  <si>
    <t>到站灯</t>
    <phoneticPr fontId="14" type="noConversion"/>
  </si>
  <si>
    <t>A780</t>
    <phoneticPr fontId="14" type="noConversion"/>
  </si>
  <si>
    <r>
      <rPr>
        <sz val="10"/>
        <rFont val="宋体"/>
        <family val="3"/>
        <charset val="134"/>
      </rPr>
      <t>语音报站</t>
    </r>
    <phoneticPr fontId="14" type="noConversion"/>
  </si>
  <si>
    <t>A510</t>
    <phoneticPr fontId="14" type="noConversion"/>
  </si>
  <si>
    <r>
      <rPr>
        <sz val="10"/>
        <rFont val="宋体"/>
        <family val="3"/>
        <charset val="134"/>
      </rPr>
      <t>门锁检测盒</t>
    </r>
    <phoneticPr fontId="14" type="noConversion"/>
  </si>
  <si>
    <t>应急灯连接板</t>
    <phoneticPr fontId="14" type="noConversion"/>
  </si>
  <si>
    <t>轿壁连接件</t>
    <phoneticPr fontId="14" type="noConversion"/>
  </si>
  <si>
    <t>应急灯</t>
    <phoneticPr fontId="14" type="noConversion"/>
  </si>
  <si>
    <t>电源电缆接线盒</t>
    <phoneticPr fontId="14" type="noConversion"/>
  </si>
  <si>
    <t>安全门开关组件</t>
    <phoneticPr fontId="14" type="noConversion"/>
  </si>
  <si>
    <r>
      <rPr>
        <sz val="10"/>
        <rFont val="宋体"/>
        <family val="3"/>
        <charset val="134"/>
      </rPr>
      <t>楼层召唤显示箱</t>
    </r>
    <phoneticPr fontId="14" type="noConversion"/>
  </si>
  <si>
    <t>A210</t>
    <phoneticPr fontId="14" type="noConversion"/>
  </si>
  <si>
    <r>
      <rPr>
        <sz val="10"/>
        <rFont val="宋体"/>
        <family val="3"/>
        <charset val="134"/>
      </rPr>
      <t>召唤箱</t>
    </r>
    <phoneticPr fontId="14" type="noConversion"/>
  </si>
  <si>
    <t>横式显示</t>
    <phoneticPr fontId="14" type="noConversion"/>
  </si>
  <si>
    <r>
      <rPr>
        <sz val="10"/>
        <rFont val="宋体"/>
        <family val="3"/>
        <charset val="134"/>
      </rPr>
      <t>厅门显示箱</t>
    </r>
    <phoneticPr fontId="14" type="noConversion"/>
  </si>
  <si>
    <r>
      <rPr>
        <sz val="10"/>
        <rFont val="宋体"/>
        <family val="3"/>
        <charset val="134"/>
      </rPr>
      <t>随行电缆</t>
    </r>
    <phoneticPr fontId="14" type="noConversion"/>
  </si>
  <si>
    <t>08005</t>
    <phoneticPr fontId="14" type="noConversion"/>
  </si>
  <si>
    <t>8#-5</t>
    <phoneticPr fontId="14" type="noConversion"/>
  </si>
  <si>
    <t>波纹管</t>
    <phoneticPr fontId="14" type="noConversion"/>
  </si>
  <si>
    <r>
      <rPr>
        <sz val="10"/>
        <rFont val="宋体"/>
        <family val="3"/>
        <charset val="134"/>
      </rPr>
      <t>轿架总成</t>
    </r>
    <r>
      <rPr>
        <sz val="10"/>
        <rFont val="TKTypeRegular"/>
        <family val="2"/>
      </rPr>
      <t xml:space="preserve">                        </t>
    </r>
    <r>
      <rPr>
        <sz val="6"/>
        <rFont val="TKTypeRegular"/>
        <family val="2"/>
      </rPr>
      <t>/CAR FRAME ASSEMBLY</t>
    </r>
    <phoneticPr fontId="14" type="noConversion"/>
  </si>
  <si>
    <t>轿厢侧滑动导靴</t>
    <phoneticPr fontId="14" type="noConversion"/>
  </si>
  <si>
    <t>对重侧滑动导靴</t>
    <phoneticPr fontId="14" type="noConversion"/>
  </si>
  <si>
    <t>A380</t>
    <phoneticPr fontId="14" type="noConversion"/>
  </si>
  <si>
    <r>
      <rPr>
        <sz val="10"/>
        <rFont val="宋体"/>
        <family val="3"/>
        <charset val="134"/>
      </rPr>
      <t>滚动导靴</t>
    </r>
    <phoneticPr fontId="14" type="noConversion"/>
  </si>
  <si>
    <t>A290</t>
    <phoneticPr fontId="14" type="noConversion"/>
  </si>
  <si>
    <r>
      <rPr>
        <sz val="10"/>
        <rFont val="宋体"/>
        <family val="3"/>
        <charset val="134"/>
      </rPr>
      <t>绳头端接装置</t>
    </r>
    <phoneticPr fontId="14" type="noConversion"/>
  </si>
  <si>
    <t>A490</t>
    <phoneticPr fontId="14" type="noConversion"/>
  </si>
  <si>
    <t>轿顶轮组件</t>
    <phoneticPr fontId="14" type="noConversion"/>
  </si>
  <si>
    <r>
      <rPr>
        <sz val="10"/>
        <rFont val="宋体"/>
        <family val="3"/>
        <charset val="134"/>
      </rPr>
      <t>轿厢侧钢丝绳夹</t>
    </r>
    <phoneticPr fontId="14" type="noConversion"/>
  </si>
  <si>
    <t>对重侧钢丝绳夹</t>
    <phoneticPr fontId="14" type="noConversion"/>
  </si>
  <si>
    <r>
      <rPr>
        <sz val="10"/>
        <rFont val="宋体"/>
        <family val="3"/>
        <charset val="134"/>
      </rPr>
      <t>下梁组件</t>
    </r>
    <phoneticPr fontId="14" type="noConversion"/>
  </si>
  <si>
    <t>上梁组件</t>
    <phoneticPr fontId="14" type="noConversion"/>
  </si>
  <si>
    <r>
      <rPr>
        <sz val="10"/>
        <rFont val="宋体"/>
        <family val="3"/>
        <charset val="134"/>
      </rPr>
      <t>检修箱支架</t>
    </r>
    <phoneticPr fontId="14" type="noConversion"/>
  </si>
  <si>
    <r>
      <rPr>
        <sz val="10"/>
        <rFont val="宋体"/>
        <family val="3"/>
        <charset val="134"/>
      </rPr>
      <t>应急电源安装附件</t>
    </r>
    <phoneticPr fontId="14" type="noConversion"/>
  </si>
  <si>
    <r>
      <rPr>
        <sz val="10"/>
        <rFont val="宋体"/>
        <family val="3"/>
        <charset val="134"/>
      </rPr>
      <t>轿厢架立柱组件</t>
    </r>
    <r>
      <rPr>
        <sz val="6"/>
        <rFont val="TKTypeRegular"/>
        <family val="2"/>
      </rPr>
      <t>/CAR LIFT GROUP</t>
    </r>
    <phoneticPr fontId="14" type="noConversion"/>
  </si>
  <si>
    <r>
      <rPr>
        <sz val="10"/>
        <rFont val="宋体"/>
        <family val="3"/>
        <charset val="134"/>
      </rPr>
      <t>轿厢架立柱组件</t>
    </r>
    <phoneticPr fontId="14" type="noConversion"/>
  </si>
  <si>
    <t>A320</t>
    <phoneticPr fontId="14" type="noConversion"/>
  </si>
  <si>
    <t>09002</t>
    <phoneticPr fontId="14" type="noConversion"/>
  </si>
  <si>
    <t>9#-2</t>
    <phoneticPr fontId="14" type="noConversion"/>
  </si>
  <si>
    <r>
      <rPr>
        <sz val="10"/>
        <rFont val="宋体"/>
        <family val="3"/>
        <charset val="134"/>
      </rPr>
      <t>轿架斜拉杆</t>
    </r>
    <phoneticPr fontId="14" type="noConversion"/>
  </si>
  <si>
    <t>A320</t>
    <phoneticPr fontId="14" type="noConversion"/>
  </si>
  <si>
    <t>09002</t>
    <phoneticPr fontId="14" type="noConversion"/>
  </si>
  <si>
    <t>9#-2</t>
    <phoneticPr fontId="14" type="noConversion"/>
  </si>
  <si>
    <r>
      <rPr>
        <sz val="10"/>
        <rFont val="宋体"/>
        <family val="3"/>
        <charset val="134"/>
      </rPr>
      <t>轿厢架立柱组件</t>
    </r>
    <r>
      <rPr>
        <sz val="6"/>
        <rFont val="TKTypeRegular"/>
        <family val="2"/>
      </rPr>
      <t>/CAR LIFT GROUP</t>
    </r>
    <phoneticPr fontId="14" type="noConversion"/>
  </si>
  <si>
    <t>A720</t>
    <phoneticPr fontId="14" type="noConversion"/>
  </si>
  <si>
    <t>09003</t>
    <phoneticPr fontId="14" type="noConversion"/>
  </si>
  <si>
    <t>9#-3</t>
    <phoneticPr fontId="14" type="noConversion"/>
  </si>
  <si>
    <r>
      <rPr>
        <sz val="10"/>
        <rFont val="宋体"/>
        <family val="3"/>
        <charset val="134"/>
      </rPr>
      <t>轿厢组件</t>
    </r>
    <r>
      <rPr>
        <sz val="10"/>
        <rFont val="TKTypeRegular"/>
        <family val="2"/>
      </rPr>
      <t xml:space="preserve">                           </t>
    </r>
    <r>
      <rPr>
        <sz val="6"/>
        <rFont val="TKTypeRegular"/>
        <family val="2"/>
      </rPr>
      <t>/CAR  ASS.</t>
    </r>
    <phoneticPr fontId="14" type="noConversion"/>
  </si>
  <si>
    <t>A330</t>
    <phoneticPr fontId="14" type="noConversion"/>
  </si>
  <si>
    <t>10001</t>
    <phoneticPr fontId="14" type="noConversion"/>
  </si>
  <si>
    <t>10#-1</t>
    <phoneticPr fontId="14" type="noConversion"/>
  </si>
  <si>
    <r>
      <rPr>
        <sz val="10"/>
        <rFont val="宋体"/>
        <family val="3"/>
        <charset val="134"/>
      </rPr>
      <t>含</t>
    </r>
    <r>
      <rPr>
        <sz val="10"/>
        <rFont val="TKTypeRegular"/>
        <family val="2"/>
      </rPr>
      <t>PVC</t>
    </r>
    <r>
      <rPr>
        <sz val="10"/>
        <rFont val="宋体"/>
        <family val="3"/>
        <charset val="134"/>
      </rPr>
      <t>地板及装潢地板</t>
    </r>
    <phoneticPr fontId="14" type="noConversion"/>
  </si>
  <si>
    <r>
      <rPr>
        <sz val="10"/>
        <rFont val="宋体"/>
        <family val="3"/>
        <charset val="134"/>
      </rPr>
      <t>轿顶护栏组件</t>
    </r>
    <phoneticPr fontId="14" type="noConversion"/>
  </si>
  <si>
    <t>A420</t>
    <phoneticPr fontId="14" type="noConversion"/>
  </si>
  <si>
    <t>轿顶</t>
    <phoneticPr fontId="14" type="noConversion"/>
  </si>
  <si>
    <t>A500</t>
    <phoneticPr fontId="14" type="noConversion"/>
  </si>
  <si>
    <r>
      <rPr>
        <sz val="10"/>
        <rFont val="宋体"/>
        <family val="3"/>
        <charset val="134"/>
      </rPr>
      <t>吊顶</t>
    </r>
    <phoneticPr fontId="14" type="noConversion"/>
  </si>
  <si>
    <t>轿顶减震装置</t>
    <phoneticPr fontId="14" type="noConversion"/>
  </si>
  <si>
    <r>
      <rPr>
        <sz val="10"/>
        <rFont val="宋体"/>
        <family val="3"/>
        <charset val="134"/>
      </rPr>
      <t>风扇</t>
    </r>
    <phoneticPr fontId="14" type="noConversion"/>
  </si>
  <si>
    <r>
      <rPr>
        <sz val="10"/>
        <rFont val="宋体"/>
        <family val="3"/>
        <charset val="134"/>
      </rPr>
      <t>减震装置</t>
    </r>
    <phoneticPr fontId="14" type="noConversion"/>
  </si>
  <si>
    <t>轿厢扶手组件</t>
    <phoneticPr fontId="14" type="noConversion"/>
  </si>
  <si>
    <r>
      <rPr>
        <sz val="10"/>
        <rFont val="宋体"/>
        <family val="3"/>
        <charset val="134"/>
      </rPr>
      <t>平衡块挡板组件</t>
    </r>
    <phoneticPr fontId="14" type="noConversion"/>
  </si>
  <si>
    <t>曳引轮防护罩</t>
    <phoneticPr fontId="14" type="noConversion"/>
  </si>
  <si>
    <r>
      <rPr>
        <sz val="10"/>
        <rFont val="宋体"/>
        <family val="3"/>
        <charset val="134"/>
      </rPr>
      <t>轿顶线槽</t>
    </r>
    <phoneticPr fontId="14" type="noConversion"/>
  </si>
  <si>
    <t>A500</t>
    <phoneticPr fontId="14" type="noConversion"/>
  </si>
  <si>
    <t>10001</t>
    <phoneticPr fontId="14" type="noConversion"/>
  </si>
  <si>
    <t>10#-1</t>
    <phoneticPr fontId="14" type="noConversion"/>
  </si>
  <si>
    <r>
      <rPr>
        <sz val="10"/>
        <rFont val="宋体"/>
        <family val="3"/>
        <charset val="134"/>
      </rPr>
      <t>轿顶检修箱支架</t>
    </r>
    <phoneticPr fontId="14" type="noConversion"/>
  </si>
  <si>
    <t>A420</t>
    <phoneticPr fontId="14" type="noConversion"/>
  </si>
  <si>
    <r>
      <rPr>
        <sz val="10"/>
        <rFont val="宋体"/>
        <family val="3"/>
        <charset val="134"/>
      </rPr>
      <t>轿厢装潢组件</t>
    </r>
    <r>
      <rPr>
        <sz val="10"/>
        <rFont val="TKTypeRegular"/>
        <family val="2"/>
      </rPr>
      <t xml:space="preserve">                      </t>
    </r>
    <r>
      <rPr>
        <sz val="6"/>
        <rFont val="TKTypeRegular"/>
        <family val="2"/>
      </rPr>
      <t>/CAR  ASS.</t>
    </r>
    <phoneticPr fontId="14" type="noConversion"/>
  </si>
  <si>
    <r>
      <rPr>
        <sz val="10"/>
        <rFont val="宋体"/>
        <family val="3"/>
        <charset val="134"/>
      </rPr>
      <t>电梯空调</t>
    </r>
    <r>
      <rPr>
        <sz val="10"/>
        <rFont val="TKTypeRegular"/>
        <family val="2"/>
      </rPr>
      <t xml:space="preserve"> </t>
    </r>
    <phoneticPr fontId="14" type="noConversion"/>
  </si>
  <si>
    <t>10003</t>
    <phoneticPr fontId="14" type="noConversion"/>
  </si>
  <si>
    <t>10#-3</t>
    <phoneticPr fontId="14" type="noConversion"/>
  </si>
  <si>
    <r>
      <rPr>
        <sz val="10"/>
        <rFont val="宋体"/>
        <family val="3"/>
        <charset val="134"/>
      </rPr>
      <t>轿壁板组件</t>
    </r>
    <r>
      <rPr>
        <sz val="10"/>
        <rFont val="TKTypeRegular"/>
        <family val="2"/>
      </rPr>
      <t xml:space="preserve">                             </t>
    </r>
    <r>
      <rPr>
        <sz val="6"/>
        <rFont val="TKTypeRegular"/>
        <family val="2"/>
      </rPr>
      <t>/CAR PANEL ASSEMBLY</t>
    </r>
    <phoneticPr fontId="14" type="noConversion"/>
  </si>
  <si>
    <r>
      <rPr>
        <sz val="10"/>
        <rFont val="宋体"/>
        <family val="3"/>
        <charset val="134"/>
      </rPr>
      <t>轿壁</t>
    </r>
    <phoneticPr fontId="14" type="noConversion"/>
  </si>
  <si>
    <t>A550</t>
    <phoneticPr fontId="14" type="noConversion"/>
  </si>
  <si>
    <t>11001</t>
    <phoneticPr fontId="14" type="noConversion"/>
  </si>
  <si>
    <t>11#-1</t>
    <phoneticPr fontId="14" type="noConversion"/>
  </si>
  <si>
    <t>减震橡胶</t>
    <phoneticPr fontId="14" type="noConversion"/>
  </si>
  <si>
    <t>轿厢围壁</t>
    <phoneticPr fontId="13" type="noConversion"/>
  </si>
  <si>
    <t>轿门门楣组件</t>
    <phoneticPr fontId="14" type="noConversion"/>
  </si>
  <si>
    <t>A580</t>
    <phoneticPr fontId="14" type="noConversion"/>
  </si>
  <si>
    <t>11001</t>
    <phoneticPr fontId="14" type="noConversion"/>
  </si>
  <si>
    <t>11#-1</t>
    <phoneticPr fontId="14" type="noConversion"/>
  </si>
  <si>
    <r>
      <rPr>
        <sz val="10"/>
        <rFont val="宋体"/>
        <family val="3"/>
        <charset val="134"/>
      </rPr>
      <t>轿壁连接件</t>
    </r>
    <phoneticPr fontId="14" type="noConversion"/>
  </si>
  <si>
    <t>A550</t>
    <phoneticPr fontId="14" type="noConversion"/>
  </si>
  <si>
    <r>
      <rPr>
        <sz val="10"/>
        <rFont val="宋体"/>
        <family val="3"/>
        <charset val="134"/>
      </rPr>
      <t>轿壁板组件</t>
    </r>
    <r>
      <rPr>
        <sz val="10"/>
        <rFont val="TKTypeRegular"/>
        <family val="2"/>
      </rPr>
      <t xml:space="preserve">                </t>
    </r>
    <r>
      <rPr>
        <sz val="6"/>
        <rFont val="TKTypeRegular"/>
        <family val="2"/>
      </rPr>
      <t>/CAR PANEL ASSEMBLY</t>
    </r>
    <phoneticPr fontId="14" type="noConversion"/>
  </si>
  <si>
    <r>
      <rPr>
        <sz val="10"/>
        <rFont val="宋体"/>
        <family val="3"/>
        <charset val="134"/>
      </rPr>
      <t>轿门门楣遮光板</t>
    </r>
    <phoneticPr fontId="14" type="noConversion"/>
  </si>
  <si>
    <r>
      <rPr>
        <sz val="10"/>
        <rFont val="宋体"/>
        <family val="3"/>
        <charset val="134"/>
      </rPr>
      <t>后壁镜子</t>
    </r>
    <phoneticPr fontId="14" type="noConversion"/>
  </si>
  <si>
    <t>A540</t>
    <phoneticPr fontId="14" type="noConversion"/>
  </si>
  <si>
    <t>11002</t>
    <phoneticPr fontId="14" type="noConversion"/>
  </si>
  <si>
    <t>11#-2</t>
    <phoneticPr fontId="14" type="noConversion"/>
  </si>
  <si>
    <r>
      <rPr>
        <sz val="10"/>
        <rFont val="宋体"/>
        <family val="3"/>
        <charset val="134"/>
      </rPr>
      <t>后壁玻璃</t>
    </r>
    <phoneticPr fontId="14" type="noConversion"/>
  </si>
  <si>
    <t>轿壁装潢部件</t>
    <phoneticPr fontId="14" type="noConversion"/>
  </si>
  <si>
    <t>A610</t>
    <phoneticPr fontId="14" type="noConversion"/>
  </si>
  <si>
    <r>
      <rPr>
        <sz val="10"/>
        <rFont val="宋体"/>
        <family val="3"/>
        <charset val="134"/>
      </rPr>
      <t>轿门组件</t>
    </r>
    <r>
      <rPr>
        <sz val="10"/>
        <rFont val="TKTypeRegular"/>
        <family val="2"/>
      </rPr>
      <t xml:space="preserve">                        </t>
    </r>
    <r>
      <rPr>
        <sz val="6"/>
        <rFont val="TKTypeRegular"/>
        <family val="2"/>
      </rPr>
      <t>/CAR DOOR ASSEMBLY</t>
    </r>
    <phoneticPr fontId="14" type="noConversion"/>
  </si>
  <si>
    <t>装潢镜子</t>
    <phoneticPr fontId="14" type="noConversion"/>
  </si>
  <si>
    <r>
      <rPr>
        <sz val="10"/>
        <rFont val="宋体"/>
        <family val="3"/>
        <charset val="134"/>
      </rPr>
      <t>轿门门板</t>
    </r>
    <phoneticPr fontId="14" type="noConversion"/>
  </si>
  <si>
    <t>A560</t>
    <phoneticPr fontId="14" type="noConversion"/>
  </si>
  <si>
    <t>12000</t>
    <phoneticPr fontId="14" type="noConversion"/>
  </si>
  <si>
    <t>12#</t>
    <phoneticPr fontId="14" type="noConversion"/>
  </si>
  <si>
    <t>K200</t>
    <phoneticPr fontId="14" type="noConversion"/>
  </si>
  <si>
    <r>
      <rPr>
        <sz val="10"/>
        <rFont val="宋体"/>
        <family val="3"/>
        <charset val="134"/>
      </rPr>
      <t>轿门悬挂组件</t>
    </r>
    <phoneticPr fontId="14" type="noConversion"/>
  </si>
  <si>
    <t>A390</t>
    <phoneticPr fontId="14" type="noConversion"/>
  </si>
  <si>
    <t>12000</t>
    <phoneticPr fontId="14" type="noConversion"/>
  </si>
  <si>
    <t>12#</t>
    <phoneticPr fontId="14" type="noConversion"/>
  </si>
  <si>
    <t>K200</t>
    <phoneticPr fontId="14" type="noConversion"/>
  </si>
  <si>
    <r>
      <rPr>
        <sz val="10"/>
        <rFont val="宋体"/>
        <family val="3"/>
        <charset val="134"/>
      </rPr>
      <t>门电机组件</t>
    </r>
    <phoneticPr fontId="14" type="noConversion"/>
  </si>
  <si>
    <r>
      <rPr>
        <sz val="10"/>
        <rFont val="宋体"/>
        <family val="3"/>
        <charset val="134"/>
      </rPr>
      <t>轿门光幕</t>
    </r>
    <phoneticPr fontId="14" type="noConversion"/>
  </si>
  <si>
    <t>A600</t>
    <phoneticPr fontId="14" type="noConversion"/>
  </si>
  <si>
    <r>
      <rPr>
        <sz val="10"/>
        <rFont val="宋体"/>
        <family val="3"/>
        <charset val="134"/>
      </rPr>
      <t>光幕支撑板</t>
    </r>
    <phoneticPr fontId="14" type="noConversion"/>
  </si>
  <si>
    <r>
      <rPr>
        <sz val="10"/>
        <rFont val="宋体"/>
        <family val="3"/>
        <charset val="134"/>
      </rPr>
      <t>门地坎</t>
    </r>
    <phoneticPr fontId="14" type="noConversion"/>
  </si>
  <si>
    <t>A560</t>
    <phoneticPr fontId="14" type="noConversion"/>
  </si>
  <si>
    <r>
      <rPr>
        <sz val="10"/>
        <rFont val="宋体"/>
        <family val="3"/>
        <charset val="134"/>
      </rPr>
      <t>轿门安装附件</t>
    </r>
    <phoneticPr fontId="14" type="noConversion"/>
  </si>
  <si>
    <r>
      <rPr>
        <sz val="10"/>
        <rFont val="宋体"/>
        <family val="3"/>
        <charset val="134"/>
      </rPr>
      <t>轿门锁组件</t>
    </r>
    <phoneticPr fontId="14" type="noConversion"/>
  </si>
  <si>
    <t>A160</t>
    <phoneticPr fontId="14" type="noConversion"/>
  </si>
  <si>
    <r>
      <rPr>
        <sz val="10"/>
        <rFont val="宋体"/>
        <family val="3"/>
        <charset val="134"/>
      </rPr>
      <t>轿门锁开锁挡块组件</t>
    </r>
    <phoneticPr fontId="14" type="noConversion"/>
  </si>
  <si>
    <t>A170</t>
    <phoneticPr fontId="14" type="noConversion"/>
  </si>
  <si>
    <r>
      <rPr>
        <sz val="10"/>
        <rFont val="宋体"/>
        <family val="3"/>
        <charset val="134"/>
      </rPr>
      <t>门机安装支架</t>
    </r>
    <phoneticPr fontId="14" type="noConversion"/>
  </si>
  <si>
    <t>A180</t>
    <phoneticPr fontId="14" type="noConversion"/>
  </si>
  <si>
    <r>
      <rPr>
        <sz val="10"/>
        <rFont val="宋体"/>
        <family val="3"/>
        <charset val="134"/>
      </rPr>
      <t>轿门装置</t>
    </r>
    <phoneticPr fontId="14" type="noConversion"/>
  </si>
  <si>
    <t>K200/K8</t>
    <phoneticPr fontId="14" type="noConversion"/>
  </si>
  <si>
    <t>轿门悬挂组件</t>
    <phoneticPr fontId="14" type="noConversion"/>
  </si>
  <si>
    <t>A390</t>
    <phoneticPr fontId="14" type="noConversion"/>
  </si>
  <si>
    <t>K8</t>
    <phoneticPr fontId="14" type="noConversion"/>
  </si>
  <si>
    <t>轿门立柱组件</t>
    <phoneticPr fontId="14" type="noConversion"/>
  </si>
  <si>
    <r>
      <t>F9</t>
    </r>
    <r>
      <rPr>
        <sz val="10"/>
        <rFont val="宋体"/>
        <family val="3"/>
        <charset val="134"/>
      </rPr>
      <t>门电机</t>
    </r>
    <phoneticPr fontId="14" type="noConversion"/>
  </si>
  <si>
    <t>光幕左支架组件</t>
    <phoneticPr fontId="14" type="noConversion"/>
  </si>
  <si>
    <t>A600</t>
    <phoneticPr fontId="14" type="noConversion"/>
  </si>
  <si>
    <r>
      <rPr>
        <sz val="10"/>
        <rFont val="宋体"/>
        <family val="3"/>
        <charset val="134"/>
      </rPr>
      <t>门地坎</t>
    </r>
    <phoneticPr fontId="14" type="noConversion"/>
  </si>
  <si>
    <r>
      <t>K8</t>
    </r>
    <r>
      <rPr>
        <sz val="10"/>
        <rFont val="宋体"/>
        <family val="3"/>
        <charset val="134"/>
      </rPr>
      <t>机械联动装置</t>
    </r>
    <phoneticPr fontId="14" type="noConversion"/>
  </si>
  <si>
    <t>后端外压盖</t>
    <phoneticPr fontId="14" type="noConversion"/>
  </si>
  <si>
    <t>轿门左门</t>
    <phoneticPr fontId="14" type="noConversion"/>
  </si>
  <si>
    <t>轿门右门</t>
    <phoneticPr fontId="14" type="noConversion"/>
  </si>
  <si>
    <t>光幕</t>
    <phoneticPr fontId="14" type="noConversion"/>
  </si>
  <si>
    <t>前端盖</t>
    <phoneticPr fontId="14" type="noConversion"/>
  </si>
  <si>
    <r>
      <rPr>
        <sz val="10"/>
        <rFont val="宋体"/>
        <family val="3"/>
        <charset val="134"/>
      </rPr>
      <t>对重框架组件</t>
    </r>
    <r>
      <rPr>
        <sz val="6"/>
        <rFont val="TKTypeRegular"/>
        <family val="2"/>
      </rPr>
      <t>/COUNTERWEIGHT FRAME</t>
    </r>
    <phoneticPr fontId="14" type="noConversion"/>
  </si>
  <si>
    <r>
      <rPr>
        <sz val="10"/>
        <rFont val="宋体"/>
        <family val="3"/>
        <charset val="134"/>
      </rPr>
      <t>三角钥匙</t>
    </r>
    <phoneticPr fontId="14" type="noConversion"/>
  </si>
  <si>
    <t>轿厢扶手组件</t>
    <phoneticPr fontId="13" type="noConversion"/>
  </si>
  <si>
    <r>
      <rPr>
        <sz val="10"/>
        <rFont val="宋体"/>
        <family val="3"/>
        <charset val="134"/>
      </rPr>
      <t>对重轮组件</t>
    </r>
    <phoneticPr fontId="14" type="noConversion"/>
  </si>
  <si>
    <t>A360</t>
    <phoneticPr fontId="14" type="noConversion"/>
  </si>
  <si>
    <t>13000</t>
    <phoneticPr fontId="14" type="noConversion"/>
  </si>
  <si>
    <r>
      <rPr>
        <sz val="10"/>
        <rFont val="宋体"/>
        <family val="3"/>
        <charset val="134"/>
      </rPr>
      <t>对重框架</t>
    </r>
    <phoneticPr fontId="14" type="noConversion"/>
  </si>
  <si>
    <t>A360</t>
    <phoneticPr fontId="14" type="noConversion"/>
  </si>
  <si>
    <t>13000</t>
    <phoneticPr fontId="14" type="noConversion"/>
  </si>
  <si>
    <r>
      <rPr>
        <sz val="10"/>
        <rFont val="宋体"/>
        <family val="3"/>
        <charset val="134"/>
      </rPr>
      <t>对重防护栏组件</t>
    </r>
    <phoneticPr fontId="14" type="noConversion"/>
  </si>
  <si>
    <t>A740</t>
    <phoneticPr fontId="14" type="noConversion"/>
  </si>
  <si>
    <r>
      <rPr>
        <sz val="10"/>
        <rFont val="宋体"/>
        <family val="3"/>
        <charset val="134"/>
      </rPr>
      <t>对重块组件</t>
    </r>
    <r>
      <rPr>
        <sz val="10"/>
        <rFont val="TKTypeRegular"/>
        <family val="2"/>
      </rPr>
      <t xml:space="preserve">                </t>
    </r>
    <r>
      <rPr>
        <sz val="6"/>
        <rFont val="TKTypeRegular"/>
        <family val="2"/>
      </rPr>
      <t>/COUNTERWEIGHT</t>
    </r>
    <phoneticPr fontId="14" type="noConversion"/>
  </si>
  <si>
    <t>调节座</t>
    <phoneticPr fontId="14" type="noConversion"/>
  </si>
  <si>
    <r>
      <rPr>
        <sz val="10"/>
        <rFont val="宋体"/>
        <family val="3"/>
        <charset val="134"/>
      </rPr>
      <t>对重铁</t>
    </r>
    <phoneticPr fontId="14" type="noConversion"/>
  </si>
  <si>
    <t>14001</t>
    <phoneticPr fontId="14" type="noConversion"/>
  </si>
  <si>
    <t>14#-1</t>
    <phoneticPr fontId="14" type="noConversion"/>
  </si>
  <si>
    <r>
      <rPr>
        <sz val="10"/>
        <rFont val="宋体"/>
        <family val="3"/>
        <charset val="134"/>
      </rPr>
      <t>钢丝绳总成</t>
    </r>
    <phoneticPr fontId="14" type="noConversion"/>
  </si>
  <si>
    <r>
      <rPr>
        <sz val="10"/>
        <rFont val="宋体"/>
        <family val="3"/>
        <charset val="134"/>
      </rPr>
      <t>调整对重铁</t>
    </r>
    <phoneticPr fontId="14" type="noConversion"/>
  </si>
  <si>
    <t>A760</t>
    <phoneticPr fontId="14" type="noConversion"/>
  </si>
  <si>
    <t>14001</t>
    <phoneticPr fontId="14" type="noConversion"/>
  </si>
  <si>
    <t>14#-1</t>
    <phoneticPr fontId="14" type="noConversion"/>
  </si>
  <si>
    <t>15000</t>
    <phoneticPr fontId="14" type="noConversion"/>
  </si>
  <si>
    <t>15#</t>
    <phoneticPr fontId="14" type="noConversion"/>
  </si>
  <si>
    <r>
      <rPr>
        <sz val="10"/>
        <rFont val="宋体"/>
        <family val="3"/>
        <charset val="134"/>
      </rPr>
      <t>自制进口</t>
    </r>
    <r>
      <rPr>
        <sz val="10"/>
        <rFont val="TKTypeRegular"/>
        <family val="2"/>
      </rPr>
      <t>Drako</t>
    </r>
    <phoneticPr fontId="14" type="noConversion"/>
  </si>
  <si>
    <r>
      <rPr>
        <sz val="10"/>
        <rFont val="宋体"/>
        <family val="3"/>
        <charset val="134"/>
      </rPr>
      <t>钢丝绳防锈油</t>
    </r>
    <phoneticPr fontId="14" type="noConversion"/>
  </si>
  <si>
    <t>15#</t>
    <phoneticPr fontId="14" type="noConversion"/>
  </si>
  <si>
    <t>轿门门楣组件</t>
    <phoneticPr fontId="13" type="noConversion"/>
  </si>
  <si>
    <r>
      <rPr>
        <sz val="10"/>
        <rFont val="宋体"/>
        <family val="3"/>
        <charset val="134"/>
      </rPr>
      <t>钢丝绳</t>
    </r>
    <phoneticPr fontId="14" type="noConversion"/>
  </si>
  <si>
    <t>15001</t>
    <phoneticPr fontId="14" type="noConversion"/>
  </si>
  <si>
    <t>15#-1</t>
    <phoneticPr fontId="14" type="noConversion"/>
  </si>
  <si>
    <r>
      <rPr>
        <sz val="10"/>
        <rFont val="宋体"/>
        <family val="3"/>
        <charset val="134"/>
      </rPr>
      <t>天津布顿</t>
    </r>
    <r>
      <rPr>
        <sz val="10"/>
        <rFont val="TKTypeRegular"/>
        <family val="2"/>
      </rPr>
      <t>(</t>
    </r>
    <r>
      <rPr>
        <sz val="10"/>
        <rFont val="宋体"/>
        <family val="3"/>
        <charset val="134"/>
      </rPr>
      <t>补偿绳</t>
    </r>
    <r>
      <rPr>
        <sz val="10"/>
        <rFont val="TKTypeRegular"/>
        <family val="2"/>
      </rPr>
      <t>)</t>
    </r>
    <phoneticPr fontId="14" type="noConversion"/>
  </si>
  <si>
    <t>15001</t>
    <phoneticPr fontId="14" type="noConversion"/>
  </si>
  <si>
    <t>15#-1</t>
    <phoneticPr fontId="14" type="noConversion"/>
  </si>
  <si>
    <r>
      <rPr>
        <sz val="10"/>
        <rFont val="宋体"/>
        <family val="3"/>
        <charset val="134"/>
      </rPr>
      <t>天津布顿</t>
    </r>
    <r>
      <rPr>
        <sz val="10"/>
        <rFont val="TKTypeRegular"/>
        <family val="2"/>
      </rPr>
      <t>(</t>
    </r>
    <r>
      <rPr>
        <sz val="10"/>
        <rFont val="宋体"/>
        <family val="3"/>
        <charset val="134"/>
      </rPr>
      <t>限速绳</t>
    </r>
    <r>
      <rPr>
        <sz val="10"/>
        <rFont val="TKTypeRegular"/>
        <family val="2"/>
      </rPr>
      <t>)</t>
    </r>
    <phoneticPr fontId="14" type="noConversion"/>
  </si>
  <si>
    <r>
      <rPr>
        <sz val="10"/>
        <rFont val="宋体"/>
        <family val="3"/>
        <charset val="134"/>
      </rPr>
      <t>曳引钢丝绳</t>
    </r>
    <phoneticPr fontId="14" type="noConversion"/>
  </si>
  <si>
    <t>15002</t>
    <phoneticPr fontId="14" type="noConversion"/>
  </si>
  <si>
    <t>15#-2</t>
    <phoneticPr fontId="14" type="noConversion"/>
  </si>
  <si>
    <r>
      <rPr>
        <sz val="10"/>
        <rFont val="宋体"/>
        <family val="3"/>
        <charset val="134"/>
      </rPr>
      <t>国产</t>
    </r>
    <r>
      <rPr>
        <sz val="10"/>
        <rFont val="TKTypeRegular"/>
        <family val="2"/>
      </rPr>
      <t>(</t>
    </r>
    <r>
      <rPr>
        <sz val="10"/>
        <rFont val="宋体"/>
        <family val="3"/>
        <charset val="134"/>
      </rPr>
      <t>防跳绳</t>
    </r>
    <r>
      <rPr>
        <sz val="10"/>
        <rFont val="TKTypeRegular"/>
        <family val="2"/>
      </rPr>
      <t>)</t>
    </r>
    <phoneticPr fontId="14" type="noConversion"/>
  </si>
  <si>
    <t>后端内压盖</t>
    <phoneticPr fontId="14" type="noConversion"/>
  </si>
  <si>
    <t>定子扣片</t>
    <phoneticPr fontId="14" type="noConversion"/>
  </si>
  <si>
    <t>钢丝绳</t>
    <phoneticPr fontId="13" type="noConversion"/>
  </si>
  <si>
    <t>曳引机系统</t>
    <phoneticPr fontId="9" type="noConversion"/>
  </si>
  <si>
    <t>导轨组件</t>
    <phoneticPr fontId="9" type="noConversion"/>
  </si>
  <si>
    <t>轿架系统</t>
    <phoneticPr fontId="9" type="noConversion"/>
  </si>
  <si>
    <t>轿顶，轿底组件</t>
    <phoneticPr fontId="9" type="noConversion"/>
  </si>
  <si>
    <t>轿壁系统</t>
    <phoneticPr fontId="9" type="noConversion"/>
  </si>
  <si>
    <t>轿门装置</t>
    <phoneticPr fontId="13" type="noConversion"/>
  </si>
  <si>
    <t>厅门装置</t>
    <phoneticPr fontId="13" type="noConversion"/>
  </si>
  <si>
    <t>轿厢</t>
    <phoneticPr fontId="13" type="noConversion"/>
  </si>
  <si>
    <t>操纵箱</t>
    <phoneticPr fontId="13" type="noConversion"/>
  </si>
  <si>
    <t>导向轮防护罩</t>
    <phoneticPr fontId="14" type="noConversion"/>
  </si>
  <si>
    <t>轿壁</t>
    <phoneticPr fontId="14" type="noConversion"/>
  </si>
  <si>
    <t>封头板</t>
    <phoneticPr fontId="14" type="noConversion"/>
  </si>
  <si>
    <t>轿底框架</t>
    <phoneticPr fontId="14" type="noConversion"/>
  </si>
  <si>
    <t>轿厢扶手</t>
    <phoneticPr fontId="13" type="noConversion"/>
  </si>
  <si>
    <t>传动杆组件</t>
    <phoneticPr fontId="14" type="noConversion"/>
  </si>
  <si>
    <t>轿厢架立柱组件</t>
    <phoneticPr fontId="14" type="noConversion"/>
  </si>
  <si>
    <t>轿厢架立柱</t>
    <phoneticPr fontId="14" type="noConversion"/>
  </si>
  <si>
    <t>顶部导轨</t>
    <phoneticPr fontId="14" type="noConversion"/>
  </si>
  <si>
    <t>小门套</t>
    <phoneticPr fontId="14" type="noConversion"/>
  </si>
  <si>
    <t>横梁</t>
    <phoneticPr fontId="14" type="noConversion"/>
  </si>
  <si>
    <t>上梁槽钢</t>
    <phoneticPr fontId="14" type="noConversion"/>
  </si>
  <si>
    <t>减震装置标识</t>
    <phoneticPr fontId="14" type="noConversion"/>
  </si>
  <si>
    <t>地坎托架固定槽</t>
    <phoneticPr fontId="14" type="noConversion"/>
  </si>
  <si>
    <t>接线端子</t>
    <phoneticPr fontId="14" type="noConversion"/>
  </si>
  <si>
    <t>液晶显示器</t>
    <phoneticPr fontId="14" type="noConversion"/>
  </si>
  <si>
    <t>发纹不锈钢板</t>
    <phoneticPr fontId="14" type="noConversion"/>
  </si>
  <si>
    <t>接地标志</t>
    <phoneticPr fontId="14" type="noConversion"/>
  </si>
  <si>
    <t>井道分线盒</t>
    <phoneticPr fontId="14" type="noConversion"/>
  </si>
  <si>
    <t>并行传输线</t>
    <phoneticPr fontId="14" type="noConversion"/>
  </si>
  <si>
    <t>消防开关盒</t>
    <phoneticPr fontId="14" type="noConversion"/>
  </si>
  <si>
    <t>机房线槽</t>
    <phoneticPr fontId="14" type="noConversion"/>
  </si>
  <si>
    <t>电工铜编织线</t>
    <phoneticPr fontId="14" type="noConversion"/>
  </si>
  <si>
    <t>直型插簧</t>
    <phoneticPr fontId="14" type="noConversion"/>
  </si>
  <si>
    <t>下护脚板</t>
    <phoneticPr fontId="14" type="noConversion"/>
  </si>
  <si>
    <t>限位触发组件</t>
    <phoneticPr fontId="14" type="noConversion"/>
  </si>
  <si>
    <t>消防感应组件</t>
    <phoneticPr fontId="14" type="noConversion"/>
  </si>
  <si>
    <t>感应组件</t>
    <phoneticPr fontId="14" type="noConversion"/>
  </si>
  <si>
    <t>叉形裸端头</t>
    <phoneticPr fontId="14" type="noConversion"/>
  </si>
  <si>
    <t>箱体</t>
    <phoneticPr fontId="14" type="noConversion"/>
  </si>
  <si>
    <t>接线座</t>
    <phoneticPr fontId="14" type="noConversion"/>
  </si>
  <si>
    <t>扎线带</t>
    <phoneticPr fontId="14" type="noConversion"/>
  </si>
  <si>
    <t>焊接螺柱</t>
    <phoneticPr fontId="14" type="noConversion"/>
  </si>
  <si>
    <t>对重限速器控制电缆</t>
    <phoneticPr fontId="14" type="noConversion"/>
  </si>
  <si>
    <t>下极限开关电缆</t>
    <phoneticPr fontId="14" type="noConversion"/>
  </si>
  <si>
    <t>上极限开关电缆</t>
    <phoneticPr fontId="14" type="noConversion"/>
  </si>
  <si>
    <t>消防返回到位电缆</t>
    <phoneticPr fontId="14" type="noConversion"/>
  </si>
  <si>
    <t>消防员操作电缆</t>
    <phoneticPr fontId="14" type="noConversion"/>
  </si>
  <si>
    <t>消防平层开关电缆</t>
    <phoneticPr fontId="14" type="noConversion"/>
  </si>
  <si>
    <t>轿厢缓冲器开关电缆</t>
    <phoneticPr fontId="14" type="noConversion"/>
  </si>
  <si>
    <t>热敏电阻电缆</t>
    <phoneticPr fontId="14" type="noConversion"/>
  </si>
  <si>
    <t>对重限速器开关电缆</t>
    <phoneticPr fontId="14" type="noConversion"/>
  </si>
  <si>
    <t>门电机电源电缆</t>
    <phoneticPr fontId="14" type="noConversion"/>
  </si>
  <si>
    <t>称重装置电源电缆</t>
    <phoneticPr fontId="14" type="noConversion"/>
  </si>
  <si>
    <t>称重装置通讯电缆</t>
    <phoneticPr fontId="14" type="noConversion"/>
  </si>
  <si>
    <t>上限位开关电缆</t>
    <phoneticPr fontId="14" type="noConversion"/>
  </si>
  <si>
    <t>风扇电源电缆</t>
    <phoneticPr fontId="14" type="noConversion"/>
  </si>
  <si>
    <t>轿厢照明电源电缆</t>
    <phoneticPr fontId="14" type="noConversion"/>
  </si>
  <si>
    <t>安全窗开关电缆</t>
    <phoneticPr fontId="14" type="noConversion"/>
  </si>
  <si>
    <t>MF3-MF4电源电缆</t>
    <phoneticPr fontId="14" type="noConversion"/>
  </si>
  <si>
    <t>MF4-MF4电源电缆</t>
    <phoneticPr fontId="14" type="noConversion"/>
  </si>
  <si>
    <t>电缆固定夹</t>
    <phoneticPr fontId="14" type="noConversion"/>
  </si>
  <si>
    <t>操纵箱面板</t>
    <phoneticPr fontId="14" type="noConversion"/>
  </si>
  <si>
    <t>控制柜安装附件</t>
    <phoneticPr fontId="14" type="noConversion"/>
  </si>
  <si>
    <t>松闸装置</t>
    <phoneticPr fontId="14" type="noConversion"/>
  </si>
  <si>
    <t>显示板</t>
    <phoneticPr fontId="14" type="noConversion"/>
  </si>
  <si>
    <t>双面胶带</t>
    <phoneticPr fontId="14" type="noConversion"/>
  </si>
  <si>
    <t>井道电缆夹</t>
    <phoneticPr fontId="14" type="noConversion"/>
  </si>
  <si>
    <t>选层器叶片</t>
    <phoneticPr fontId="13" type="noConversion"/>
  </si>
  <si>
    <t>叶片支架加强组件</t>
    <phoneticPr fontId="14" type="noConversion"/>
  </si>
  <si>
    <t>侧挡板</t>
    <phoneticPr fontId="14" type="noConversion"/>
  </si>
  <si>
    <t>压线帽</t>
    <phoneticPr fontId="14" type="noConversion"/>
  </si>
  <si>
    <t>曳引机机架焊接件</t>
    <phoneticPr fontId="14" type="noConversion"/>
  </si>
  <si>
    <t>断路器锁</t>
    <phoneticPr fontId="14" type="noConversion"/>
  </si>
  <si>
    <t>断路器锁定装置</t>
    <phoneticPr fontId="14" type="noConversion"/>
  </si>
  <si>
    <t>芯片</t>
    <phoneticPr fontId="14" type="noConversion"/>
  </si>
  <si>
    <t>轿门悬挂</t>
    <phoneticPr fontId="14" type="noConversion"/>
  </si>
  <si>
    <t>隔音板</t>
    <phoneticPr fontId="14" type="noConversion"/>
  </si>
  <si>
    <t>机房附件</t>
    <phoneticPr fontId="14" type="noConversion"/>
  </si>
  <si>
    <t>蝶形弹簧</t>
    <phoneticPr fontId="14" type="noConversion"/>
  </si>
  <si>
    <t>圆柱拉伸弹簧</t>
    <phoneticPr fontId="14" type="noConversion"/>
  </si>
  <si>
    <t>圆柱压缩弹簧</t>
    <phoneticPr fontId="14" type="noConversion"/>
  </si>
  <si>
    <t>电路板</t>
    <phoneticPr fontId="14" type="noConversion"/>
  </si>
  <si>
    <t>控制柜半成品</t>
    <phoneticPr fontId="14" type="noConversion"/>
  </si>
  <si>
    <t>按钮板组件</t>
    <phoneticPr fontId="14" type="noConversion"/>
  </si>
  <si>
    <t>按钮板线缆</t>
    <phoneticPr fontId="14" type="noConversion"/>
  </si>
  <si>
    <t>控制柜底板组件</t>
    <phoneticPr fontId="14" type="noConversion"/>
  </si>
  <si>
    <t>控制柜底板线缆</t>
    <phoneticPr fontId="14" type="noConversion"/>
  </si>
  <si>
    <t>控制柜控制线缆</t>
    <phoneticPr fontId="14" type="noConversion"/>
  </si>
  <si>
    <t>控制柜电源线缆</t>
    <phoneticPr fontId="14" type="noConversion"/>
  </si>
  <si>
    <t>控制柜电源及控制线缆</t>
    <phoneticPr fontId="14" type="noConversion"/>
  </si>
  <si>
    <t>变频器柜线缆</t>
    <phoneticPr fontId="14" type="noConversion"/>
  </si>
  <si>
    <t>变频器柜底板组件</t>
    <phoneticPr fontId="14" type="noConversion"/>
  </si>
  <si>
    <t>角钢</t>
    <phoneticPr fontId="14" type="noConversion"/>
  </si>
  <si>
    <t>限速器梁焊接件</t>
    <phoneticPr fontId="14" type="noConversion"/>
  </si>
  <si>
    <t>底座</t>
    <phoneticPr fontId="14" type="noConversion"/>
  </si>
  <si>
    <t>底座组件</t>
    <phoneticPr fontId="14" type="noConversion"/>
  </si>
  <si>
    <t>螺纹板</t>
    <phoneticPr fontId="14" type="noConversion"/>
  </si>
  <si>
    <t>机械联动装置</t>
    <phoneticPr fontId="14" type="noConversion"/>
  </si>
  <si>
    <t>补偿装置开关电缆</t>
    <phoneticPr fontId="14" type="noConversion"/>
  </si>
  <si>
    <t>端站减速组件</t>
    <phoneticPr fontId="14" type="noConversion"/>
  </si>
  <si>
    <t>减速叶片</t>
    <phoneticPr fontId="14" type="noConversion"/>
  </si>
  <si>
    <t>S型钩</t>
    <phoneticPr fontId="14" type="noConversion"/>
  </si>
  <si>
    <t>轴</t>
    <phoneticPr fontId="14" type="noConversion"/>
  </si>
  <si>
    <t>地震功能组件</t>
    <phoneticPr fontId="14" type="noConversion"/>
  </si>
  <si>
    <t>预开门功能组件</t>
    <phoneticPr fontId="14" type="noConversion"/>
  </si>
  <si>
    <t>高峰运行功能组件</t>
    <phoneticPr fontId="14" type="noConversion"/>
  </si>
  <si>
    <t>自动救援装置功能组件</t>
    <phoneticPr fontId="14" type="noConversion"/>
  </si>
  <si>
    <t>BAS接口功能组件</t>
    <phoneticPr fontId="14" type="noConversion"/>
  </si>
  <si>
    <t>转子铁芯</t>
    <phoneticPr fontId="14" type="noConversion"/>
  </si>
  <si>
    <t>厅门地坎安装附件</t>
    <phoneticPr fontId="14" type="noConversion"/>
  </si>
  <si>
    <t>轿门地坎安装附件</t>
    <phoneticPr fontId="14" type="noConversion"/>
  </si>
  <si>
    <t>补偿绳张紧装置</t>
    <phoneticPr fontId="14" type="noConversion"/>
  </si>
  <si>
    <t>补偿绳张紧装置底座</t>
    <phoneticPr fontId="14" type="noConversion"/>
  </si>
  <si>
    <t>补偿绳张紧装置导轨</t>
    <phoneticPr fontId="14" type="noConversion"/>
  </si>
  <si>
    <t>补偿绳张紧装置横梁</t>
    <phoneticPr fontId="14" type="noConversion"/>
  </si>
  <si>
    <t>张紧块</t>
    <phoneticPr fontId="14" type="noConversion"/>
  </si>
  <si>
    <t>缓冲器底座</t>
    <phoneticPr fontId="14" type="noConversion"/>
  </si>
  <si>
    <t>侧板组件</t>
    <phoneticPr fontId="14" type="noConversion"/>
  </si>
  <si>
    <t>挡块</t>
    <phoneticPr fontId="14" type="noConversion"/>
  </si>
  <si>
    <t>衬套</t>
    <phoneticPr fontId="14" type="noConversion"/>
  </si>
  <si>
    <t>框架焊接件</t>
    <phoneticPr fontId="14" type="noConversion"/>
  </si>
  <si>
    <t>焊接板</t>
    <phoneticPr fontId="14" type="noConversion"/>
  </si>
  <si>
    <t>导轨压板组件</t>
    <phoneticPr fontId="14" type="noConversion"/>
  </si>
  <si>
    <t>横梁组件</t>
    <phoneticPr fontId="14" type="noConversion"/>
  </si>
  <si>
    <t>缓冲器立柱</t>
    <phoneticPr fontId="14" type="noConversion"/>
  </si>
  <si>
    <t>立柱焊接件</t>
    <phoneticPr fontId="14" type="noConversion"/>
  </si>
  <si>
    <t>端盖</t>
    <phoneticPr fontId="14" type="noConversion"/>
  </si>
  <si>
    <t>横联组件</t>
    <phoneticPr fontId="14" type="noConversion"/>
  </si>
  <si>
    <t>接线座组件</t>
    <phoneticPr fontId="14" type="noConversion"/>
  </si>
  <si>
    <t>阻尼器</t>
    <phoneticPr fontId="14" type="noConversion"/>
  </si>
  <si>
    <t>隔音材料</t>
    <phoneticPr fontId="14" type="noConversion"/>
  </si>
  <si>
    <t>底坑检修门开关电缆</t>
    <phoneticPr fontId="14" type="noConversion"/>
  </si>
  <si>
    <t>开关加长电缆</t>
    <phoneticPr fontId="14" type="noConversion"/>
  </si>
  <si>
    <t>安全触板开关电缆</t>
    <phoneticPr fontId="14" type="noConversion"/>
  </si>
  <si>
    <t>方垫片</t>
    <phoneticPr fontId="14" type="noConversion"/>
  </si>
  <si>
    <t>轿壁连接盒</t>
    <phoneticPr fontId="14" type="noConversion"/>
  </si>
  <si>
    <t>门板防撞橡胶</t>
    <phoneticPr fontId="14" type="noConversion"/>
  </si>
  <si>
    <t>外召按钮电缆</t>
    <phoneticPr fontId="14" type="noConversion"/>
  </si>
  <si>
    <t>底部导轨</t>
    <phoneticPr fontId="14" type="noConversion"/>
  </si>
  <si>
    <t>平头铆钉</t>
    <phoneticPr fontId="14" type="noConversion"/>
  </si>
  <si>
    <t>松闸装置电源电缆</t>
    <phoneticPr fontId="14" type="noConversion"/>
  </si>
  <si>
    <t>松闸功能组件</t>
    <phoneticPr fontId="14" type="noConversion"/>
  </si>
  <si>
    <t>警示牌</t>
    <phoneticPr fontId="14" type="noConversion"/>
  </si>
  <si>
    <t>上端爬梯</t>
    <phoneticPr fontId="14" type="noConversion"/>
  </si>
  <si>
    <t>下端爬梯</t>
    <phoneticPr fontId="14" type="noConversion"/>
  </si>
  <si>
    <t>电缆组合</t>
    <phoneticPr fontId="14" type="noConversion"/>
  </si>
  <si>
    <t>预开门功能附件</t>
    <phoneticPr fontId="14" type="noConversion"/>
  </si>
  <si>
    <t>高峰运行功能附件</t>
    <phoneticPr fontId="14" type="noConversion"/>
  </si>
  <si>
    <t>自动救援装置功能附件</t>
    <phoneticPr fontId="14" type="noConversion"/>
  </si>
  <si>
    <t>中继器电源电缆</t>
    <phoneticPr fontId="14" type="noConversion"/>
  </si>
  <si>
    <t>井道照明灯</t>
    <phoneticPr fontId="14" type="noConversion"/>
  </si>
  <si>
    <t>鞍形弹性垫圈</t>
    <phoneticPr fontId="14" type="noConversion"/>
  </si>
  <si>
    <t>半圆头铆钉</t>
    <phoneticPr fontId="14" type="noConversion"/>
  </si>
  <si>
    <t>标牌铆钉</t>
    <phoneticPr fontId="14" type="noConversion"/>
  </si>
  <si>
    <t>唇形密封圈</t>
    <phoneticPr fontId="14" type="noConversion"/>
  </si>
  <si>
    <t>蝶形螺母</t>
    <phoneticPr fontId="14" type="noConversion"/>
  </si>
  <si>
    <t>自动救援装置电源</t>
    <phoneticPr fontId="14" type="noConversion"/>
  </si>
  <si>
    <t>操纵箱铭牌</t>
    <phoneticPr fontId="14" type="noConversion"/>
  </si>
  <si>
    <t>关门限位装置</t>
    <phoneticPr fontId="14" type="noConversion"/>
  </si>
  <si>
    <t>挡块组件</t>
    <phoneticPr fontId="14" type="noConversion"/>
  </si>
  <si>
    <t>门触点插头</t>
    <phoneticPr fontId="14" type="noConversion"/>
  </si>
  <si>
    <t>挂门轮</t>
    <phoneticPr fontId="14" type="noConversion"/>
  </si>
  <si>
    <t>偏心轮</t>
    <phoneticPr fontId="14" type="noConversion"/>
  </si>
  <si>
    <t>缓冲橡胶</t>
    <phoneticPr fontId="14" type="noConversion"/>
  </si>
  <si>
    <t>门触点插座</t>
    <phoneticPr fontId="14" type="noConversion"/>
  </si>
  <si>
    <t>厅门门锁装置</t>
    <phoneticPr fontId="14" type="noConversion"/>
  </si>
  <si>
    <t>厅门锁钩组件</t>
    <phoneticPr fontId="14" type="noConversion"/>
  </si>
  <si>
    <t>厅门锁钩</t>
    <phoneticPr fontId="14" type="noConversion"/>
  </si>
  <si>
    <t>厅门门锁铭牌</t>
    <phoneticPr fontId="14" type="noConversion"/>
  </si>
  <si>
    <t>滚轮</t>
    <phoneticPr fontId="14" type="noConversion"/>
  </si>
  <si>
    <t>门导轨</t>
    <phoneticPr fontId="14" type="noConversion"/>
  </si>
  <si>
    <t>门触点开关组件</t>
    <phoneticPr fontId="14" type="noConversion"/>
  </si>
  <si>
    <t>门触点插座组件</t>
    <phoneticPr fontId="14" type="noConversion"/>
  </si>
  <si>
    <t>联轴器</t>
    <phoneticPr fontId="14" type="noConversion"/>
  </si>
  <si>
    <t>前端外压盖组件</t>
    <phoneticPr fontId="14" type="noConversion"/>
  </si>
  <si>
    <t>密封垫</t>
    <phoneticPr fontId="14" type="noConversion"/>
  </si>
  <si>
    <t>制动器防护罩</t>
    <phoneticPr fontId="14" type="noConversion"/>
  </si>
  <si>
    <t>绝缘纸</t>
    <phoneticPr fontId="14" type="noConversion"/>
  </si>
  <si>
    <t>包装箱</t>
    <phoneticPr fontId="14" type="noConversion"/>
  </si>
  <si>
    <t>曳引机包装箱</t>
    <phoneticPr fontId="14" type="noConversion"/>
  </si>
  <si>
    <t>吸油毛毡</t>
    <phoneticPr fontId="14" type="noConversion"/>
  </si>
  <si>
    <t>前端盖组件</t>
    <phoneticPr fontId="14" type="noConversion"/>
  </si>
  <si>
    <t>后端盖组件</t>
    <phoneticPr fontId="14" type="noConversion"/>
  </si>
  <si>
    <t>环氧树脂</t>
    <phoneticPr fontId="14" type="noConversion"/>
  </si>
  <si>
    <t>线盒盖组件</t>
    <phoneticPr fontId="14" type="noConversion"/>
  </si>
  <si>
    <t>地震传感器</t>
    <phoneticPr fontId="14" type="noConversion"/>
  </si>
  <si>
    <t>门机调试仪</t>
    <phoneticPr fontId="14" type="noConversion"/>
  </si>
  <si>
    <t>制动器电源电缆</t>
    <phoneticPr fontId="14" type="noConversion"/>
  </si>
  <si>
    <t>厅门锁连接电缆</t>
    <phoneticPr fontId="14" type="noConversion"/>
  </si>
  <si>
    <t>井道安全门</t>
    <phoneticPr fontId="14" type="noConversion"/>
  </si>
  <si>
    <t>井道安全门电缆分支</t>
    <phoneticPr fontId="14" type="noConversion"/>
  </si>
  <si>
    <t>井道安全门电缆</t>
    <phoneticPr fontId="14" type="noConversion"/>
  </si>
  <si>
    <t>并联通讯电缆</t>
    <phoneticPr fontId="14" type="noConversion"/>
  </si>
  <si>
    <t>制动器检测开关和热敏电阻电缆</t>
    <phoneticPr fontId="14" type="noConversion"/>
  </si>
  <si>
    <t>外召通讯电源电缆</t>
    <phoneticPr fontId="14" type="noConversion"/>
  </si>
  <si>
    <t>外召通讯电源电缆分支</t>
    <phoneticPr fontId="14" type="noConversion"/>
  </si>
  <si>
    <t>井道上部位置开关电缆</t>
    <phoneticPr fontId="14" type="noConversion"/>
  </si>
  <si>
    <t>井道下部位置开关电缆</t>
    <phoneticPr fontId="14" type="noConversion"/>
  </si>
  <si>
    <t>风扇开关电缆</t>
    <phoneticPr fontId="14" type="noConversion"/>
  </si>
  <si>
    <t>称重装置检测开关电缆</t>
    <phoneticPr fontId="14" type="noConversion"/>
  </si>
  <si>
    <t>轿顶-主COP通讯及电源电缆</t>
    <phoneticPr fontId="14" type="noConversion"/>
  </si>
  <si>
    <t>应急灯控制电缆</t>
    <phoneticPr fontId="14" type="noConversion"/>
  </si>
  <si>
    <t>对讲电源电缆</t>
    <phoneticPr fontId="14" type="noConversion"/>
  </si>
  <si>
    <t>对讲警铃按钮电缆</t>
    <phoneticPr fontId="14" type="noConversion"/>
  </si>
  <si>
    <t>轿壁底板组件</t>
    <phoneticPr fontId="14" type="noConversion"/>
  </si>
  <si>
    <t>防护圈</t>
    <phoneticPr fontId="14" type="noConversion"/>
  </si>
  <si>
    <t>司机功能组件</t>
    <phoneticPr fontId="14" type="noConversion"/>
  </si>
  <si>
    <t>树脂</t>
    <phoneticPr fontId="14" type="noConversion"/>
  </si>
  <si>
    <t>硬化剂</t>
    <phoneticPr fontId="14" type="noConversion"/>
  </si>
  <si>
    <t>防尘刷</t>
    <phoneticPr fontId="14" type="noConversion"/>
  </si>
  <si>
    <t>触点插头</t>
    <phoneticPr fontId="14" type="noConversion"/>
  </si>
  <si>
    <t>触点插头组件</t>
    <phoneticPr fontId="14" type="noConversion"/>
  </si>
  <si>
    <t>空调</t>
    <phoneticPr fontId="14" type="noConversion"/>
  </si>
  <si>
    <t>空调安装支架</t>
    <phoneticPr fontId="14" type="noConversion"/>
  </si>
  <si>
    <t>曳引轮防护罩开关电缆</t>
    <phoneticPr fontId="14" type="noConversion"/>
  </si>
  <si>
    <t>开门到位开关电缆</t>
    <phoneticPr fontId="14" type="noConversion"/>
  </si>
  <si>
    <t>挂钩</t>
    <phoneticPr fontId="14" type="noConversion"/>
  </si>
  <si>
    <t>液晶显示器</t>
    <phoneticPr fontId="13" type="noConversion"/>
  </si>
  <si>
    <t>IC卡读卡器/写卡器</t>
    <phoneticPr fontId="13" type="noConversion"/>
  </si>
  <si>
    <t>轿顶安全护栏</t>
    <phoneticPr fontId="13" type="noConversion"/>
  </si>
  <si>
    <r>
      <rPr>
        <sz val="10"/>
        <rFont val="宋体"/>
        <family val="3"/>
        <charset val="134"/>
      </rPr>
      <t>钢丝绳</t>
    </r>
    <r>
      <rPr>
        <sz val="10"/>
        <rFont val="TKTypeRegular"/>
        <family val="2"/>
      </rPr>
      <t xml:space="preserve"> </t>
    </r>
    <r>
      <rPr>
        <sz val="10"/>
        <rFont val="宋体"/>
        <family val="3"/>
        <charset val="134"/>
      </rPr>
      <t>φ</t>
    </r>
    <r>
      <rPr>
        <sz val="10"/>
        <rFont val="TKTypeRegular"/>
        <family val="2"/>
      </rPr>
      <t>3</t>
    </r>
    <phoneticPr fontId="13" type="noConversion"/>
  </si>
  <si>
    <r>
      <t xml:space="preserve">BOLT </t>
    </r>
    <r>
      <rPr>
        <sz val="10"/>
        <rFont val="宋体"/>
        <family val="3"/>
        <charset val="134"/>
      </rPr>
      <t>板接线盒</t>
    </r>
    <phoneticPr fontId="14" type="noConversion"/>
  </si>
  <si>
    <t>门锁检测盒</t>
    <phoneticPr fontId="14" type="noConversion"/>
  </si>
  <si>
    <t>厅门门板</t>
    <phoneticPr fontId="14" type="noConversion"/>
  </si>
  <si>
    <t>限速器安装座</t>
    <phoneticPr fontId="14" type="noConversion"/>
  </si>
  <si>
    <t xml:space="preserve">限速器支架 </t>
    <phoneticPr fontId="14" type="noConversion"/>
  </si>
  <si>
    <r>
      <t>钢板</t>
    </r>
    <r>
      <rPr>
        <sz val="10"/>
        <rFont val="TKTypeRegular"/>
        <family val="2"/>
      </rPr>
      <t>/H</t>
    </r>
    <r>
      <rPr>
        <sz val="10"/>
        <rFont val="宋体"/>
        <family val="3"/>
        <charset val="134"/>
      </rPr>
      <t>型钢</t>
    </r>
  </si>
  <si>
    <t xml:space="preserve">搁机钢梁 </t>
    <phoneticPr fontId="14" type="noConversion"/>
  </si>
  <si>
    <r>
      <t>IC</t>
    </r>
    <r>
      <rPr>
        <sz val="10"/>
        <rFont val="宋体"/>
        <family val="3"/>
        <charset val="134"/>
      </rPr>
      <t>卡读卡器</t>
    </r>
    <r>
      <rPr>
        <sz val="10"/>
        <rFont val="TKTypeRegular"/>
        <family val="2"/>
      </rPr>
      <t/>
    </r>
    <phoneticPr fontId="14" type="noConversion"/>
  </si>
  <si>
    <r>
      <rPr>
        <sz val="10"/>
        <rFont val="宋体"/>
        <family val="3"/>
        <charset val="134"/>
      </rPr>
      <t>写卡器</t>
    </r>
    <r>
      <rPr>
        <sz val="10"/>
        <rFont val="TKTypeRegular"/>
        <family val="2"/>
      </rPr>
      <t>/IC</t>
    </r>
    <r>
      <rPr>
        <sz val="10"/>
        <rFont val="宋体"/>
        <family val="3"/>
        <charset val="134"/>
      </rPr>
      <t>卡</t>
    </r>
    <phoneticPr fontId="14" type="noConversion"/>
  </si>
  <si>
    <t>装潢吊顶</t>
    <phoneticPr fontId="14" type="noConversion"/>
  </si>
  <si>
    <t>(TSD)</t>
  </si>
  <si>
    <t>装潢扶手</t>
    <phoneticPr fontId="14" type="noConversion"/>
  </si>
  <si>
    <t>(TSF)</t>
  </si>
  <si>
    <r>
      <rPr>
        <sz val="10"/>
        <rFont val="宋体"/>
        <family val="3"/>
        <charset val="134"/>
      </rPr>
      <t>曳引钢丝绳</t>
    </r>
    <r>
      <rPr>
        <sz val="10"/>
        <rFont val="TKTypeRegular"/>
        <family val="2"/>
      </rPr>
      <t xml:space="preserve"> </t>
    </r>
    <phoneticPr fontId="14" type="noConversion"/>
  </si>
  <si>
    <t>轿厢围壁</t>
    <phoneticPr fontId="13" type="noConversion"/>
  </si>
  <si>
    <t>A550</t>
    <phoneticPr fontId="14" type="noConversion"/>
  </si>
  <si>
    <t>11#-1</t>
    <phoneticPr fontId="13" type="noConversion"/>
  </si>
  <si>
    <t>胡晓明</t>
    <phoneticPr fontId="9" type="noConversion"/>
  </si>
  <si>
    <t>胡晓明</t>
    <phoneticPr fontId="9" type="noConversion"/>
  </si>
  <si>
    <t>CE67251-WL</t>
  </si>
  <si>
    <t>CE67251-WL</t>
    <phoneticPr fontId="9" type="noConversion"/>
  </si>
  <si>
    <t>私宅电梯</t>
  </si>
  <si>
    <t>私宅电梯</t>
    <phoneticPr fontId="9" type="noConversion"/>
  </si>
  <si>
    <t>井道顶部梁</t>
    <phoneticPr fontId="9" type="noConversion"/>
  </si>
  <si>
    <t>330166950</t>
  </si>
  <si>
    <t>330166950</t>
    <phoneticPr fontId="9" type="noConversion"/>
  </si>
  <si>
    <t>D300094389</t>
  </si>
  <si>
    <t>D300094389</t>
    <phoneticPr fontId="9" type="noConversion"/>
  </si>
  <si>
    <t>PC</t>
  </si>
  <si>
    <t>PC</t>
    <phoneticPr fontId="9" type="noConversion"/>
  </si>
  <si>
    <t>导轨支架</t>
    <phoneticPr fontId="9" type="noConversion"/>
  </si>
  <si>
    <t>330166952</t>
  </si>
  <si>
    <t>330166952</t>
    <phoneticPr fontId="9" type="noConversion"/>
  </si>
  <si>
    <t>D300094391</t>
  </si>
  <si>
    <t>D300094391</t>
    <phoneticPr fontId="9" type="noConversion"/>
  </si>
  <si>
    <t>330166953</t>
  </si>
  <si>
    <t>330166953</t>
    <phoneticPr fontId="9" type="noConversion"/>
  </si>
  <si>
    <t>对重块</t>
    <phoneticPr fontId="9" type="noConversion"/>
  </si>
  <si>
    <t>330166946</t>
  </si>
  <si>
    <t>330166946</t>
    <phoneticPr fontId="9" type="noConversion"/>
  </si>
  <si>
    <t>D300094385</t>
  </si>
  <si>
    <t>D300094385</t>
    <phoneticPr fontId="9" type="noConversion"/>
  </si>
  <si>
    <t>26kg-L585-Compound</t>
    <phoneticPr fontId="9" type="noConversion"/>
  </si>
  <si>
    <t>16.5kg-545-HT100</t>
    <phoneticPr fontId="9" type="noConversion"/>
  </si>
  <si>
    <t>330166947</t>
  </si>
  <si>
    <t>330166947</t>
    <phoneticPr fontId="9" type="noConversion"/>
  </si>
  <si>
    <t>D300094386</t>
  </si>
  <si>
    <t>D300094386</t>
    <phoneticPr fontId="9" type="noConversion"/>
  </si>
  <si>
    <t>对重框架组件</t>
    <phoneticPr fontId="9" type="noConversion"/>
  </si>
  <si>
    <t>330166954</t>
  </si>
  <si>
    <t>330166954</t>
    <phoneticPr fontId="9" type="noConversion"/>
  </si>
  <si>
    <t>D300094393</t>
  </si>
  <si>
    <t>D300094393</t>
    <phoneticPr fontId="9" type="noConversion"/>
  </si>
  <si>
    <t>胡晓明</t>
  </si>
  <si>
    <t/>
  </si>
  <si>
    <t>是</t>
  </si>
  <si>
    <t>Shaft Top Beam</t>
  </si>
  <si>
    <t>Guide Rail Bracket</t>
  </si>
  <si>
    <t>对重块 26kg-L585-Compound</t>
  </si>
  <si>
    <t>CWT Filler 26kg-L585-Compound</t>
  </si>
  <si>
    <t>对重块 16.5kg-545-HT100</t>
  </si>
  <si>
    <t>CWT Filler 16.5kg-545-HT100</t>
  </si>
  <si>
    <t>CWT Frame Assy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</si>
</sst>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quot;年&quot;m&quot;月&quot;d&quot;日&quot;;@"/>
  </numFmts>
  <fonts count="41">
    <font>
      <sz val="10"/>
      <color theme="1"/>
      <name val="宋体"/>
      <family val="2"/>
      <charset val="134"/>
      <scheme val="minor"/>
    </font>
    <font>
      <sz val="11"/>
      <color theme="1"/>
      <name val="宋体"/>
      <family val="2"/>
      <scheme val="minor"/>
    </font>
    <font>
      <sz val="12"/>
      <name val="宋体"/>
      <family val="3"/>
      <charset val="134"/>
    </font>
    <font>
      <sz val="19"/>
      <name val="TKTypeBold"/>
      <family val="2"/>
    </font>
    <font>
      <b/>
      <sz val="15"/>
      <name val="宋体"/>
      <family val="3"/>
      <charset val="134"/>
    </font>
    <font>
      <b/>
      <sz val="11"/>
      <name val="宋体"/>
      <family val="3"/>
      <charset val="134"/>
    </font>
    <font>
      <b/>
      <sz val="9"/>
      <name val="宋体"/>
      <family val="3"/>
      <charset val="134"/>
    </font>
    <font>
      <sz val="9"/>
      <name val="TKTypeRegular"/>
      <family val="2"/>
    </font>
    <font>
      <sz val="8"/>
      <name val="Arial"/>
      <family val="2"/>
    </font>
    <font>
      <sz val="8"/>
      <name val="宋体"/>
      <family val="3"/>
      <charset val="134"/>
    </font>
    <font>
      <b/>
      <sz val="9"/>
      <color indexed="81"/>
      <name val="Tahoma"/>
      <family val="2"/>
    </font>
    <font>
      <sz val="9"/>
      <name val="Arial"/>
      <family val="2"/>
    </font>
    <font>
      <sz val="9"/>
      <color indexed="81"/>
      <name val="Tahoma"/>
      <family val="2"/>
    </font>
    <font>
      <sz val="9"/>
      <name val="宋体"/>
      <family val="2"/>
      <charset val="134"/>
      <scheme val="minor"/>
    </font>
    <font>
      <sz val="9"/>
      <name val="宋体"/>
      <family val="3"/>
      <charset val="134"/>
    </font>
    <font>
      <sz val="9"/>
      <color theme="1"/>
      <name val="宋体"/>
      <family val="2"/>
      <charset val="134"/>
      <scheme val="minor"/>
    </font>
    <font>
      <sz val="10"/>
      <name val="宋体"/>
      <family val="3"/>
      <charset val="134"/>
    </font>
    <font>
      <sz val="10"/>
      <name val="宋体"/>
      <family val="3"/>
      <charset val="134"/>
    </font>
    <font>
      <sz val="10"/>
      <name val="TKTypeRegular"/>
      <family val="2"/>
    </font>
    <font>
      <sz val="9"/>
      <color theme="1"/>
      <name val="宋体"/>
      <family val="2"/>
      <scheme val="minor"/>
    </font>
    <font>
      <sz val="18"/>
      <color theme="1"/>
      <name val="宋体"/>
      <family val="2"/>
      <charset val="134"/>
      <scheme val="minor"/>
    </font>
    <font>
      <sz val="10"/>
      <name val="Arial"/>
      <family val="2"/>
    </font>
    <font>
      <sz val="11"/>
      <color theme="1"/>
      <name val="宋体"/>
      <family val="2"/>
      <scheme val="minor"/>
    </font>
    <font>
      <sz val="9"/>
      <name val="Times New Roman"/>
      <family val="1"/>
    </font>
    <font>
      <b/>
      <sz val="15"/>
      <name val="Times New Roman"/>
      <family val="1"/>
    </font>
    <font>
      <sz val="9"/>
      <color theme="1"/>
      <name val="宋体"/>
      <family val="3"/>
      <charset val="134"/>
      <scheme val="minor"/>
    </font>
    <font>
      <sz val="9"/>
      <color indexed="8"/>
      <name val="宋体"/>
      <family val="3"/>
      <charset val="134"/>
    </font>
    <font>
      <sz val="9"/>
      <color indexed="10"/>
      <name val="Arial"/>
      <family val="2"/>
    </font>
    <font>
      <sz val="9"/>
      <color rgb="FFFF0000"/>
      <name val="Arial"/>
      <family val="2"/>
    </font>
    <font>
      <sz val="8"/>
      <color theme="1"/>
      <name val="Arial"/>
      <family val="2"/>
    </font>
    <font>
      <sz val="8"/>
      <color theme="1"/>
      <name val="宋体"/>
      <family val="3"/>
      <charset val="134"/>
    </font>
    <font>
      <sz val="9"/>
      <color rgb="FFFF0000"/>
      <name val="宋体"/>
      <family val="3"/>
      <charset val="134"/>
    </font>
    <font>
      <b/>
      <sz val="10"/>
      <name val="TKTypeRegular"/>
      <family val="2"/>
    </font>
    <font>
      <b/>
      <sz val="10"/>
      <color indexed="10"/>
      <name val="TKTypeRegular"/>
      <family val="2"/>
    </font>
    <font>
      <b/>
      <sz val="10"/>
      <name val="宋体"/>
      <family val="3"/>
      <charset val="134"/>
    </font>
    <font>
      <sz val="10"/>
      <color indexed="8"/>
      <name val="TKTypeRegular"/>
      <family val="2"/>
    </font>
    <font>
      <sz val="10"/>
      <color indexed="8"/>
      <name val="宋体"/>
      <family val="3"/>
      <charset val="134"/>
    </font>
    <font>
      <sz val="8"/>
      <name val="돋움"/>
      <family val="2"/>
    </font>
    <font>
      <sz val="10"/>
      <name val="Arial Narrow"/>
      <family val="2"/>
    </font>
    <font>
      <sz val="11"/>
      <color theme="1"/>
      <name val="宋体"/>
      <family val="3"/>
      <charset val="134"/>
      <scheme val="minor"/>
    </font>
    <font>
      <sz val="6"/>
      <name val="TKTypeRegular"/>
      <family val="2"/>
    </font>
  </fonts>
  <fills count="32">
    <fill>
      <patternFill patternType="none"/>
    </fill>
    <fill>
      <patternFill patternType="gray125"/>
    </fill>
    <fill>
      <patternFill patternType="solid">
        <fgColor indexed="55"/>
        <bgColor indexed="64"/>
      </patternFill>
    </fill>
    <fill>
      <patternFill patternType="solid">
        <fgColor indexed="44"/>
        <bgColor indexed="64"/>
      </patternFill>
    </fill>
    <fill>
      <patternFill patternType="solid">
        <fgColor rgb="FFCCFFFF"/>
        <bgColor indexed="64"/>
      </patternFill>
    </fill>
    <fill>
      <patternFill patternType="solid">
        <fgColor theme="0"/>
        <bgColor indexed="64"/>
      </patternFill>
    </fill>
    <fill>
      <patternFill patternType="solid">
        <fgColor rgb="FFFFFF97"/>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1"/>
        <bgColor indexed="64"/>
      </patternFill>
    </fill>
    <fill>
      <patternFill patternType="solid">
        <fgColor indexed="9"/>
        <bgColor indexed="64"/>
      </patternFill>
    </fill>
    <fill>
      <patternFill patternType="solid">
        <fgColor theme="0" tint="-4.9989318521683403E-2"/>
        <bgColor indexed="64"/>
      </patternFill>
    </fill>
    <fill>
      <patternFill patternType="solid">
        <fgColor rgb="FF99FF99"/>
        <bgColor indexed="64"/>
      </patternFill>
    </fill>
    <fill>
      <patternFill patternType="solid">
        <fgColor indexed="43"/>
        <bgColor indexed="64"/>
      </patternFill>
    </fill>
    <fill>
      <patternFill patternType="solid">
        <fgColor indexed="13"/>
        <bgColor indexed="64"/>
      </patternFill>
    </fill>
    <fill>
      <patternFill patternType="solid">
        <fgColor indexed="52"/>
        <bgColor indexed="64"/>
      </patternFill>
    </fill>
    <fill>
      <patternFill patternType="solid">
        <fgColor theme="1" tint="4.9989318521683403E-2"/>
        <bgColor indexed="64"/>
      </patternFill>
    </fill>
    <fill>
      <patternFill patternType="solid">
        <fgColor indexed="41"/>
        <bgColor indexed="64"/>
      </patternFill>
    </fill>
    <fill>
      <patternFill patternType="solid">
        <fgColor rgb="FF00B0F0"/>
        <bgColor indexed="64"/>
      </patternFill>
    </fill>
    <fill>
      <patternFill patternType="solid">
        <fgColor rgb="FF66FF9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9"/>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8"/>
        <bgColor indexed="64"/>
      </patternFill>
    </fill>
    <fill>
      <patternFill patternType="solid">
        <fgColor theme="6" tint="0.59999389629810485"/>
        <bgColor indexed="64"/>
      </patternFill>
    </fill>
  </fills>
  <borders count="87">
    <border>
      <left/>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thin">
        <color theme="1" tint="0.34998626667073579"/>
      </top>
      <bottom style="thin">
        <color indexed="64"/>
      </bottom>
      <diagonal/>
    </border>
    <border>
      <left style="hair">
        <color indexed="64"/>
      </left>
      <right style="thin">
        <color indexed="64"/>
      </right>
      <top style="thin">
        <color theme="1" tint="0.34998626667073579"/>
      </top>
      <bottom style="thin">
        <color indexed="64"/>
      </bottom>
      <diagonal/>
    </border>
    <border>
      <left style="thin">
        <color indexed="64"/>
      </left>
      <right style="hair">
        <color indexed="64"/>
      </right>
      <top style="thin">
        <color theme="1" tint="0.34998626667073579"/>
      </top>
      <bottom style="hair">
        <color indexed="64"/>
      </bottom>
      <diagonal/>
    </border>
    <border>
      <left style="hair">
        <color indexed="64"/>
      </left>
      <right style="hair">
        <color indexed="64"/>
      </right>
      <top style="thin">
        <color theme="1" tint="0.34998626667073579"/>
      </top>
      <bottom style="hair">
        <color indexed="64"/>
      </bottom>
      <diagonal/>
    </border>
    <border>
      <left style="hair">
        <color indexed="64"/>
      </left>
      <right style="thin">
        <color indexed="64"/>
      </right>
      <top style="thin">
        <color theme="1" tint="0.34998626667073579"/>
      </top>
      <bottom style="hair">
        <color indexed="64"/>
      </bottom>
      <diagonal/>
    </border>
    <border>
      <left style="thin">
        <color indexed="64"/>
      </left>
      <right/>
      <top style="thin">
        <color indexed="64"/>
      </top>
      <bottom style="thin">
        <color theme="1" tint="0.34998626667073579"/>
      </bottom>
      <diagonal/>
    </border>
    <border>
      <left/>
      <right/>
      <top style="thin">
        <color indexed="64"/>
      </top>
      <bottom style="thin">
        <color theme="1" tint="0.34998626667073579"/>
      </bottom>
      <diagonal/>
    </border>
    <border>
      <left/>
      <right style="thin">
        <color indexed="64"/>
      </right>
      <top style="thin">
        <color indexed="64"/>
      </top>
      <bottom style="thin">
        <color theme="1" tint="0.34998626667073579"/>
      </bottom>
      <diagonal/>
    </border>
    <border>
      <left style="thin">
        <color indexed="64"/>
      </left>
      <right style="hair">
        <color indexed="64"/>
      </right>
      <top/>
      <bottom style="thin">
        <color theme="1" tint="0.34998626667073579"/>
      </bottom>
      <diagonal/>
    </border>
    <border>
      <left style="hair">
        <color indexed="64"/>
      </left>
      <right style="hair">
        <color indexed="64"/>
      </right>
      <top/>
      <bottom style="thin">
        <color theme="1" tint="0.34998626667073579"/>
      </bottom>
      <diagonal/>
    </border>
    <border>
      <left style="hair">
        <color indexed="64"/>
      </left>
      <right style="thin">
        <color indexed="64"/>
      </right>
      <top/>
      <bottom style="thin">
        <color theme="1" tint="0.34998626667073579"/>
      </bottom>
      <diagonal/>
    </border>
    <border>
      <left style="thin">
        <color indexed="64"/>
      </left>
      <right/>
      <top style="thin">
        <color theme="1" tint="0.34998626667073579"/>
      </top>
      <bottom style="thin">
        <color indexed="64"/>
      </bottom>
      <diagonal/>
    </border>
    <border>
      <left/>
      <right/>
      <top style="thin">
        <color theme="1" tint="0.34998626667073579"/>
      </top>
      <bottom style="thin">
        <color indexed="64"/>
      </bottom>
      <diagonal/>
    </border>
    <border>
      <left/>
      <right style="hair">
        <color indexed="64"/>
      </right>
      <top style="thin">
        <color theme="1" tint="0.34998626667073579"/>
      </top>
      <bottom style="thin">
        <color indexed="64"/>
      </bottom>
      <diagonal/>
    </border>
    <border>
      <left style="hair">
        <color indexed="64"/>
      </left>
      <right/>
      <top style="thin">
        <color theme="1" tint="0.34998626667073579"/>
      </top>
      <bottom style="thin">
        <color indexed="64"/>
      </bottom>
      <diagonal/>
    </border>
    <border>
      <left/>
      <right style="hair">
        <color theme="1" tint="0.34998626667073579"/>
      </right>
      <top style="thin">
        <color theme="1" tint="0.34998626667073579"/>
      </top>
      <bottom style="thin">
        <color indexed="64"/>
      </bottom>
      <diagonal/>
    </border>
    <border>
      <left style="hair">
        <color theme="1" tint="0.34998626667073579"/>
      </left>
      <right/>
      <top style="thin">
        <color theme="1" tint="0.34998626667073579"/>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thin">
        <color rgb="FFFFFF99"/>
      </bottom>
      <diagonal/>
    </border>
    <border>
      <left style="thin">
        <color indexed="64"/>
      </left>
      <right style="thin">
        <color indexed="64"/>
      </right>
      <top style="thin">
        <color rgb="FFFFFF99"/>
      </top>
      <bottom style="thin">
        <color rgb="FFFFFF99"/>
      </bottom>
      <diagonal/>
    </border>
    <border>
      <left style="thin">
        <color indexed="64"/>
      </left>
      <right style="thin">
        <color indexed="64"/>
      </right>
      <top style="thin">
        <color rgb="FFFFFF99"/>
      </top>
      <bottom style="thin">
        <color indexed="64"/>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theme="0"/>
      </right>
      <top/>
      <bottom style="hair">
        <color theme="0"/>
      </bottom>
      <diagonal/>
    </border>
    <border>
      <left style="hair">
        <color theme="0"/>
      </left>
      <right style="hair">
        <color theme="0"/>
      </right>
      <top/>
      <bottom style="hair">
        <color theme="0"/>
      </bottom>
      <diagonal/>
    </border>
    <border>
      <left style="hair">
        <color theme="0"/>
      </left>
      <right/>
      <top/>
      <bottom style="hair">
        <color theme="0"/>
      </bottom>
      <diagonal/>
    </border>
    <border>
      <left/>
      <right style="hair">
        <color theme="0"/>
      </right>
      <top style="hair">
        <color theme="0"/>
      </top>
      <bottom style="hair">
        <color theme="0"/>
      </bottom>
      <diagonal/>
    </border>
    <border>
      <left style="hair">
        <color theme="0"/>
      </left>
      <right style="hair">
        <color theme="0"/>
      </right>
      <top style="hair">
        <color theme="0"/>
      </top>
      <bottom style="hair">
        <color theme="0"/>
      </bottom>
      <diagonal/>
    </border>
    <border>
      <left style="hair">
        <color theme="0"/>
      </left>
      <right/>
      <top style="hair">
        <color theme="0"/>
      </top>
      <bottom style="hair">
        <color theme="0"/>
      </bottom>
      <diagonal/>
    </border>
    <border>
      <left style="thin">
        <color indexed="64"/>
      </left>
      <right style="hair">
        <color theme="0"/>
      </right>
      <top style="hair">
        <color theme="0"/>
      </top>
      <bottom style="hair">
        <color theme="0"/>
      </bottom>
      <diagonal/>
    </border>
    <border>
      <left style="hair">
        <color theme="0"/>
      </left>
      <right style="thin">
        <color indexed="64"/>
      </right>
      <top style="hair">
        <color theme="0"/>
      </top>
      <bottom style="hair">
        <color theme="0"/>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cellStyleXfs>
  <cellXfs count="441">
    <xf numFmtId="0" fontId="0" fillId="0" borderId="0" xfId="0"/>
    <xf numFmtId="0" fontId="2" fillId="0" borderId="0" xfId="1" applyBorder="1">
      <alignment vertical="center"/>
    </xf>
    <xf numFmtId="0" fontId="2" fillId="2" borderId="0" xfId="1" applyFill="1">
      <alignment vertical="center"/>
    </xf>
    <xf numFmtId="0" fontId="2" fillId="0" borderId="0" xfId="1">
      <alignment vertical="center"/>
    </xf>
    <xf numFmtId="0" fontId="3" fillId="0" borderId="0" xfId="1" applyFont="1" applyBorder="1">
      <alignment vertical="center"/>
    </xf>
    <xf numFmtId="0" fontId="4" fillId="0" borderId="0" xfId="1" applyFont="1" applyBorder="1" applyAlignment="1">
      <alignment horizontal="center" vertical="center"/>
    </xf>
    <xf numFmtId="0" fontId="4" fillId="0" borderId="0" xfId="1" applyFont="1" applyBorder="1" applyAlignment="1">
      <alignment horizontal="center" vertical="center"/>
    </xf>
    <xf numFmtId="0" fontId="4" fillId="0" borderId="0" xfId="1" applyFont="1" applyBorder="1" applyAlignment="1">
      <alignment horizontal="center" vertical="center"/>
    </xf>
    <xf numFmtId="0" fontId="7" fillId="6" borderId="12" xfId="0" applyNumberFormat="1" applyFont="1" applyFill="1" applyBorder="1" applyAlignment="1">
      <alignment horizontal="center" vertical="center" wrapText="1"/>
    </xf>
    <xf numFmtId="0" fontId="14" fillId="6" borderId="12" xfId="0" applyFont="1" applyFill="1" applyBorder="1" applyAlignment="1">
      <alignment horizontal="center" vertical="center" wrapText="1"/>
    </xf>
    <xf numFmtId="0" fontId="7" fillId="6" borderId="12" xfId="0" applyNumberFormat="1" applyFont="1" applyFill="1" applyBorder="1" applyAlignment="1">
      <alignment horizontal="center" wrapText="1"/>
    </xf>
    <xf numFmtId="0" fontId="14" fillId="6" borderId="12" xfId="0" applyNumberFormat="1" applyFont="1" applyFill="1" applyBorder="1" applyAlignment="1">
      <alignment horizontal="center" vertical="center" wrapText="1"/>
    </xf>
    <xf numFmtId="0" fontId="15" fillId="7" borderId="0" xfId="0" applyFont="1" applyFill="1" applyAlignment="1">
      <alignment horizontal="center"/>
    </xf>
    <xf numFmtId="0" fontId="15" fillId="7" borderId="0" xfId="0" applyFont="1" applyFill="1" applyAlignment="1">
      <alignment horizontal="center" vertical="center"/>
    </xf>
    <xf numFmtId="0" fontId="14" fillId="2" borderId="0" xfId="1" applyFont="1" applyFill="1" applyAlignment="1">
      <alignment horizontal="center" vertical="center"/>
    </xf>
    <xf numFmtId="0" fontId="14" fillId="6" borderId="33" xfId="0" applyFont="1" applyFill="1" applyBorder="1" applyAlignment="1">
      <alignment horizontal="center" vertical="center" wrapText="1"/>
    </xf>
    <xf numFmtId="0" fontId="7" fillId="6" borderId="34" xfId="0" applyNumberFormat="1" applyFont="1" applyFill="1" applyBorder="1" applyAlignment="1">
      <alignment horizontal="center" wrapText="1"/>
    </xf>
    <xf numFmtId="0" fontId="7" fillId="6" borderId="35" xfId="0" applyNumberFormat="1" applyFont="1" applyFill="1" applyBorder="1" applyAlignment="1">
      <alignment horizontal="center" wrapText="1"/>
    </xf>
    <xf numFmtId="0" fontId="7" fillId="6" borderId="36" xfId="0" applyNumberFormat="1" applyFont="1" applyFill="1" applyBorder="1" applyAlignment="1">
      <alignment horizontal="center" wrapText="1"/>
    </xf>
    <xf numFmtId="0" fontId="0" fillId="8" borderId="0" xfId="0" applyFill="1" applyAlignment="1">
      <alignment vertical="center"/>
    </xf>
    <xf numFmtId="0" fontId="0" fillId="0" borderId="0" xfId="0" applyAlignment="1">
      <alignment vertical="center"/>
    </xf>
    <xf numFmtId="0" fontId="18" fillId="6" borderId="12" xfId="0" applyNumberFormat="1" applyFont="1" applyFill="1" applyBorder="1" applyAlignment="1">
      <alignment horizontal="center" vertical="center" wrapText="1"/>
    </xf>
    <xf numFmtId="0" fontId="16" fillId="6" borderId="12" xfId="0" applyFont="1" applyFill="1" applyBorder="1" applyAlignment="1">
      <alignment horizontal="center" vertical="center" wrapText="1"/>
    </xf>
    <xf numFmtId="0" fontId="18" fillId="6" borderId="12" xfId="0" applyNumberFormat="1" applyFont="1" applyFill="1" applyBorder="1" applyAlignment="1">
      <alignment horizontal="center" wrapText="1"/>
    </xf>
    <xf numFmtId="0" fontId="16" fillId="6" borderId="12" xfId="0" applyNumberFormat="1" applyFont="1" applyFill="1" applyBorder="1" applyAlignment="1">
      <alignment horizontal="center" vertical="center" wrapText="1"/>
    </xf>
    <xf numFmtId="0" fontId="16" fillId="6" borderId="12" xfId="0" applyFont="1" applyFill="1" applyBorder="1" applyAlignment="1">
      <alignment horizontal="left" vertical="center" wrapText="1"/>
    </xf>
    <xf numFmtId="0" fontId="16" fillId="6" borderId="12" xfId="0" applyFont="1" applyFill="1" applyBorder="1" applyAlignment="1">
      <alignment vertical="center" wrapText="1"/>
    </xf>
    <xf numFmtId="0" fontId="16" fillId="6" borderId="33" xfId="0" applyFont="1" applyFill="1" applyBorder="1" applyAlignment="1">
      <alignment horizontal="left" vertical="center" wrapText="1"/>
    </xf>
    <xf numFmtId="14" fontId="0" fillId="7" borderId="0" xfId="0" applyNumberFormat="1" applyFill="1" applyAlignment="1"/>
    <xf numFmtId="14" fontId="0" fillId="0" borderId="0" xfId="0" applyNumberFormat="1" applyAlignment="1">
      <alignment horizontal="center" vertical="center"/>
    </xf>
    <xf numFmtId="14" fontId="0" fillId="0" borderId="0" xfId="0" applyNumberFormat="1" applyAlignment="1"/>
    <xf numFmtId="0" fontId="0" fillId="7" borderId="0" xfId="0" applyFill="1" applyAlignment="1"/>
    <xf numFmtId="0" fontId="22" fillId="7" borderId="0" xfId="0" applyFont="1" applyFill="1" applyAlignment="1"/>
    <xf numFmtId="0" fontId="0" fillId="0" borderId="0" xfId="0" applyAlignment="1"/>
    <xf numFmtId="0" fontId="0" fillId="7" borderId="0" xfId="0" applyFill="1" applyAlignment="1">
      <alignment vertical="center"/>
    </xf>
    <xf numFmtId="14" fontId="0" fillId="0" borderId="0" xfId="0" applyNumberFormat="1" applyAlignment="1">
      <alignment vertical="center"/>
    </xf>
    <xf numFmtId="14" fontId="15" fillId="0" borderId="0" xfId="0" applyNumberFormat="1" applyFont="1" applyAlignment="1"/>
    <xf numFmtId="14" fontId="15" fillId="0" borderId="0" xfId="0" applyNumberFormat="1" applyFont="1" applyAlignment="1">
      <alignment horizontal="center" vertical="center"/>
    </xf>
    <xf numFmtId="0" fontId="15" fillId="0" borderId="0" xfId="0" applyFont="1" applyAlignment="1"/>
    <xf numFmtId="0" fontId="15" fillId="0" borderId="0" xfId="0" applyFont="1" applyAlignment="1">
      <alignment vertical="center"/>
    </xf>
    <xf numFmtId="0" fontId="15" fillId="0" borderId="0" xfId="0" applyFont="1" applyAlignment="1">
      <alignment vertical="center" wrapText="1"/>
    </xf>
    <xf numFmtId="14" fontId="15" fillId="0" borderId="0" xfId="0" applyNumberFormat="1" applyFont="1" applyAlignment="1">
      <alignment vertical="center"/>
    </xf>
    <xf numFmtId="0" fontId="15" fillId="0" borderId="0" xfId="0" applyFont="1" applyAlignment="1">
      <alignment horizontal="left" vertical="center" wrapText="1"/>
    </xf>
    <xf numFmtId="0" fontId="15" fillId="0" borderId="0" xfId="0" applyFont="1" applyAlignment="1">
      <alignment wrapText="1"/>
    </xf>
    <xf numFmtId="14" fontId="14" fillId="5" borderId="0" xfId="1" applyNumberFormat="1" applyFont="1" applyFill="1" applyAlignment="1">
      <alignment horizontal="center" vertical="center"/>
    </xf>
    <xf numFmtId="0" fontId="7" fillId="9" borderId="12" xfId="0" applyNumberFormat="1" applyFont="1" applyFill="1" applyBorder="1" applyAlignment="1">
      <alignment horizontal="center" vertical="center" wrapText="1"/>
    </xf>
    <xf numFmtId="0" fontId="14" fillId="9" borderId="12" xfId="0" applyFont="1" applyFill="1" applyBorder="1" applyAlignment="1">
      <alignment horizontal="center" vertical="center" wrapText="1"/>
    </xf>
    <xf numFmtId="0" fontId="14" fillId="10" borderId="0" xfId="1" applyFont="1" applyFill="1" applyAlignment="1">
      <alignment horizontal="center" vertical="center"/>
    </xf>
    <xf numFmtId="0" fontId="2" fillId="9" borderId="0" xfId="1" applyFill="1" applyAlignment="1">
      <alignment horizontal="center" vertical="center"/>
    </xf>
    <xf numFmtId="0" fontId="14" fillId="9" borderId="0" xfId="1" applyFont="1" applyFill="1" applyAlignment="1">
      <alignment horizontal="center" vertical="center"/>
    </xf>
    <xf numFmtId="0" fontId="14" fillId="9" borderId="0" xfId="1" applyFont="1" applyFill="1" applyBorder="1" applyAlignment="1">
      <alignment horizontal="center" vertical="center" shrinkToFit="1"/>
    </xf>
    <xf numFmtId="0" fontId="14" fillId="10" borderId="38" xfId="1" applyFont="1" applyFill="1" applyBorder="1" applyAlignment="1">
      <alignment horizontal="center" vertical="center"/>
    </xf>
    <xf numFmtId="0" fontId="2" fillId="2" borderId="0" xfId="1" applyFill="1" applyAlignment="1">
      <alignment vertical="center" wrapText="1"/>
    </xf>
    <xf numFmtId="0" fontId="11" fillId="3" borderId="42" xfId="1" applyFont="1" applyFill="1" applyBorder="1" applyAlignment="1">
      <alignment vertical="center"/>
    </xf>
    <xf numFmtId="0" fontId="11" fillId="3" borderId="43" xfId="1" applyFont="1" applyFill="1" applyBorder="1" applyAlignment="1">
      <alignment vertical="center"/>
    </xf>
    <xf numFmtId="0" fontId="5" fillId="3" borderId="21" xfId="1" applyFont="1" applyFill="1" applyBorder="1" applyAlignment="1">
      <alignment vertical="center"/>
    </xf>
    <xf numFmtId="14" fontId="14" fillId="10" borderId="38" xfId="1" applyNumberFormat="1" applyFont="1" applyFill="1" applyBorder="1" applyAlignment="1">
      <alignment horizontal="center" vertical="center" wrapText="1"/>
    </xf>
    <xf numFmtId="0" fontId="7" fillId="12" borderId="35" xfId="0" applyNumberFormat="1" applyFont="1" applyFill="1" applyBorder="1" applyAlignment="1">
      <alignment horizontal="center" wrapText="1"/>
    </xf>
    <xf numFmtId="0" fontId="15" fillId="9" borderId="44" xfId="0" applyFont="1" applyFill="1" applyBorder="1" applyAlignment="1">
      <alignment horizontal="center"/>
    </xf>
    <xf numFmtId="0" fontId="15" fillId="9" borderId="45" xfId="0" applyFont="1" applyFill="1" applyBorder="1" applyAlignment="1">
      <alignment horizontal="center"/>
    </xf>
    <xf numFmtId="0" fontId="2" fillId="9" borderId="45" xfId="1" applyFill="1" applyBorder="1" applyAlignment="1">
      <alignment horizontal="center" vertical="center"/>
    </xf>
    <xf numFmtId="0" fontId="2" fillId="9" borderId="46" xfId="1" applyFill="1" applyBorder="1" applyAlignment="1">
      <alignment horizontal="center" vertical="center"/>
    </xf>
    <xf numFmtId="0" fontId="15" fillId="9" borderId="47" xfId="0" applyFont="1" applyFill="1" applyBorder="1" applyAlignment="1">
      <alignment horizontal="center"/>
    </xf>
    <xf numFmtId="0" fontId="15" fillId="9" borderId="48" xfId="0" applyFont="1" applyFill="1" applyBorder="1" applyAlignment="1">
      <alignment horizontal="center"/>
    </xf>
    <xf numFmtId="0" fontId="2" fillId="9" borderId="48" xfId="1" applyFill="1" applyBorder="1" applyAlignment="1">
      <alignment horizontal="center" vertical="center"/>
    </xf>
    <xf numFmtId="0" fontId="2" fillId="9" borderId="49" xfId="1" applyFill="1" applyBorder="1" applyAlignment="1">
      <alignment horizontal="center" vertical="center"/>
    </xf>
    <xf numFmtId="0" fontId="7" fillId="9" borderId="50" xfId="0" applyNumberFormat="1" applyFont="1" applyFill="1" applyBorder="1" applyAlignment="1">
      <alignment horizontal="center" vertical="center" wrapText="1"/>
    </xf>
    <xf numFmtId="0" fontId="7" fillId="9" borderId="48" xfId="0" applyNumberFormat="1" applyFont="1" applyFill="1" applyBorder="1" applyAlignment="1">
      <alignment horizontal="center" vertical="center" wrapText="1"/>
    </xf>
    <xf numFmtId="0" fontId="7" fillId="9" borderId="51" xfId="0" applyNumberFormat="1" applyFont="1" applyFill="1" applyBorder="1" applyAlignment="1">
      <alignment horizontal="center" vertical="center" wrapText="1"/>
    </xf>
    <xf numFmtId="0" fontId="14" fillId="9" borderId="50" xfId="0" applyFont="1" applyFill="1" applyBorder="1" applyAlignment="1">
      <alignment horizontal="center" vertical="center" wrapText="1"/>
    </xf>
    <xf numFmtId="0" fontId="14" fillId="9" borderId="48" xfId="0" applyFont="1" applyFill="1" applyBorder="1" applyAlignment="1">
      <alignment horizontal="center" vertical="center" wrapText="1"/>
    </xf>
    <xf numFmtId="0" fontId="14" fillId="9" borderId="51" xfId="0" applyFont="1" applyFill="1" applyBorder="1" applyAlignment="1">
      <alignment horizontal="center" vertical="center" wrapText="1"/>
    </xf>
    <xf numFmtId="0" fontId="14" fillId="9" borderId="47" xfId="1" applyFont="1" applyFill="1" applyBorder="1" applyAlignment="1">
      <alignment horizontal="center" vertical="center"/>
    </xf>
    <xf numFmtId="0" fontId="14" fillId="9" borderId="48" xfId="1" applyFont="1" applyFill="1" applyBorder="1" applyAlignment="1">
      <alignment horizontal="center" vertical="center"/>
    </xf>
    <xf numFmtId="0" fontId="14" fillId="9" borderId="49" xfId="1" applyFont="1" applyFill="1" applyBorder="1" applyAlignment="1">
      <alignment horizontal="center" vertical="center"/>
    </xf>
    <xf numFmtId="0" fontId="19" fillId="9" borderId="45" xfId="0" applyFont="1" applyFill="1" applyBorder="1" applyAlignment="1">
      <alignment horizontal="center"/>
    </xf>
    <xf numFmtId="0" fontId="19" fillId="9" borderId="48" xfId="0" applyFont="1" applyFill="1" applyBorder="1" applyAlignment="1">
      <alignment horizontal="center"/>
    </xf>
    <xf numFmtId="0" fontId="0" fillId="13" borderId="0" xfId="0" applyFill="1"/>
    <xf numFmtId="0" fontId="19" fillId="13" borderId="48" xfId="0" applyFont="1" applyFill="1" applyBorder="1" applyAlignment="1">
      <alignment horizontal="center"/>
    </xf>
    <xf numFmtId="0" fontId="15" fillId="13" borderId="48" xfId="0" applyFont="1" applyFill="1" applyBorder="1" applyAlignment="1">
      <alignment horizontal="center"/>
    </xf>
    <xf numFmtId="0" fontId="15" fillId="13" borderId="0" xfId="0" applyFont="1" applyFill="1" applyAlignment="1">
      <alignment horizontal="center"/>
    </xf>
    <xf numFmtId="0" fontId="25" fillId="0" borderId="12" xfId="2" applyFont="1" applyBorder="1" applyAlignment="1"/>
    <xf numFmtId="0" fontId="25" fillId="0" borderId="12" xfId="2" applyFont="1" applyBorder="1" applyAlignment="1">
      <alignment vertical="center" wrapText="1"/>
    </xf>
    <xf numFmtId="0" fontId="25" fillId="0" borderId="12" xfId="2" applyFont="1" applyBorder="1" applyAlignment="1">
      <alignment vertical="center"/>
    </xf>
    <xf numFmtId="0" fontId="25" fillId="0" borderId="12" xfId="2" applyFont="1" applyBorder="1" applyAlignment="1">
      <alignment wrapText="1"/>
    </xf>
    <xf numFmtId="49" fontId="14" fillId="10" borderId="52" xfId="1" applyNumberFormat="1" applyFont="1" applyFill="1" applyBorder="1" applyAlignment="1">
      <alignment horizontal="center" vertical="center"/>
    </xf>
    <xf numFmtId="49" fontId="8" fillId="0" borderId="5" xfId="1" applyNumberFormat="1" applyFont="1" applyFill="1" applyBorder="1" applyAlignment="1" applyProtection="1">
      <alignment horizontal="left" vertical="center"/>
      <protection locked="0"/>
    </xf>
    <xf numFmtId="0" fontId="11" fillId="0" borderId="12" xfId="4" applyFont="1" applyBorder="1">
      <alignment vertical="center"/>
    </xf>
    <xf numFmtId="0" fontId="27" fillId="0" borderId="12" xfId="4" applyFont="1" applyBorder="1">
      <alignment vertical="center"/>
    </xf>
    <xf numFmtId="0" fontId="28" fillId="14" borderId="12" xfId="0" applyFont="1" applyFill="1" applyBorder="1" applyAlignment="1">
      <alignment vertical="center"/>
    </xf>
    <xf numFmtId="0" fontId="27" fillId="0" borderId="12" xfId="4" applyFont="1" applyBorder="1" applyAlignment="1">
      <alignment horizontal="left" vertical="center"/>
    </xf>
    <xf numFmtId="49" fontId="9" fillId="5" borderId="12" xfId="1" applyNumberFormat="1" applyFont="1" applyFill="1" applyBorder="1" applyAlignment="1" applyProtection="1">
      <alignment horizontal="left" vertical="center" wrapText="1"/>
      <protection locked="0"/>
    </xf>
    <xf numFmtId="0" fontId="0" fillId="0" borderId="12" xfId="0" applyBorder="1"/>
    <xf numFmtId="0" fontId="29" fillId="11" borderId="12" xfId="0" applyFont="1" applyFill="1" applyBorder="1" applyAlignment="1">
      <alignment horizontal="left" vertical="center"/>
    </xf>
    <xf numFmtId="0" fontId="29" fillId="11" borderId="12" xfId="0" applyFont="1" applyFill="1" applyBorder="1" applyAlignment="1">
      <alignment vertical="center"/>
    </xf>
    <xf numFmtId="0" fontId="27" fillId="11" borderId="12" xfId="4" applyFont="1" applyFill="1" applyBorder="1">
      <alignment vertical="center"/>
    </xf>
    <xf numFmtId="0" fontId="30" fillId="11" borderId="12" xfId="4" applyFont="1" applyFill="1" applyBorder="1">
      <alignment vertical="center"/>
    </xf>
    <xf numFmtId="0" fontId="11" fillId="11" borderId="12" xfId="4" applyFont="1" applyFill="1" applyBorder="1">
      <alignment vertical="center"/>
    </xf>
    <xf numFmtId="0" fontId="31" fillId="11" borderId="12" xfId="0" applyFont="1" applyFill="1" applyBorder="1" applyAlignment="1">
      <alignment horizontal="left" vertical="center"/>
    </xf>
    <xf numFmtId="49" fontId="9" fillId="11" borderId="12" xfId="1" applyNumberFormat="1" applyFont="1" applyFill="1" applyBorder="1" applyAlignment="1" applyProtection="1">
      <alignment horizontal="left" vertical="center" wrapText="1"/>
      <protection locked="0"/>
    </xf>
    <xf numFmtId="0" fontId="0" fillId="11" borderId="12" xfId="0" applyFill="1" applyBorder="1"/>
    <xf numFmtId="0" fontId="0" fillId="11" borderId="0" xfId="0" applyFill="1"/>
    <xf numFmtId="0" fontId="31" fillId="11" borderId="12" xfId="0" applyFont="1" applyFill="1" applyBorder="1" applyAlignment="1">
      <alignment horizontal="center" vertical="center"/>
    </xf>
    <xf numFmtId="49" fontId="0" fillId="11" borderId="12" xfId="0" applyNumberFormat="1" applyFill="1" applyBorder="1"/>
    <xf numFmtId="49" fontId="30" fillId="11" borderId="12" xfId="4" applyNumberFormat="1" applyFont="1" applyFill="1" applyBorder="1">
      <alignment vertical="center"/>
    </xf>
    <xf numFmtId="49" fontId="29" fillId="11" borderId="12" xfId="0" applyNumberFormat="1" applyFont="1" applyFill="1" applyBorder="1" applyAlignment="1">
      <alignment vertical="center"/>
    </xf>
    <xf numFmtId="49" fontId="11" fillId="11" borderId="12" xfId="4" applyNumberFormat="1" applyFont="1" applyFill="1" applyBorder="1">
      <alignment vertical="center"/>
    </xf>
    <xf numFmtId="0" fontId="9" fillId="11" borderId="12" xfId="1" applyFont="1" applyFill="1" applyBorder="1" applyAlignment="1" applyProtection="1">
      <alignment horizontal="left" vertical="center" wrapText="1"/>
      <protection locked="0"/>
    </xf>
    <xf numFmtId="0" fontId="2" fillId="0" borderId="0" xfId="1" applyFill="1">
      <alignment vertical="center"/>
    </xf>
    <xf numFmtId="0" fontId="0" fillId="0" borderId="0" xfId="0" applyFill="1"/>
    <xf numFmtId="0" fontId="2" fillId="15" borderId="0" xfId="1" applyFill="1">
      <alignment vertical="center"/>
    </xf>
    <xf numFmtId="0" fontId="2" fillId="0" borderId="0" xfId="1" applyFill="1" applyAlignment="1">
      <alignment horizontal="left" vertical="center"/>
    </xf>
    <xf numFmtId="0" fontId="32" fillId="17" borderId="63" xfId="0" applyNumberFormat="1" applyFont="1" applyFill="1" applyBorder="1" applyAlignment="1">
      <alignment horizontal="center" vertical="center" wrapText="1"/>
    </xf>
    <xf numFmtId="0" fontId="32" fillId="17" borderId="64" xfId="0" applyNumberFormat="1" applyFont="1" applyFill="1" applyBorder="1" applyAlignment="1">
      <alignment horizontal="center" vertical="center" wrapText="1"/>
    </xf>
    <xf numFmtId="49" fontId="32" fillId="0" borderId="67" xfId="0" applyNumberFormat="1" applyFont="1" applyFill="1" applyBorder="1" applyAlignment="1">
      <alignment horizontal="center" vertical="center" wrapText="1"/>
    </xf>
    <xf numFmtId="49" fontId="35" fillId="0" borderId="67" xfId="0" applyNumberFormat="1" applyFont="1" applyFill="1" applyBorder="1" applyAlignment="1">
      <alignment horizontal="center" vertical="center"/>
    </xf>
    <xf numFmtId="0" fontId="18" fillId="0" borderId="68" xfId="0" applyFont="1" applyFill="1" applyBorder="1" applyAlignment="1">
      <alignment horizontal="left" vertical="center"/>
    </xf>
    <xf numFmtId="49" fontId="32" fillId="0" borderId="12" xfId="0" applyNumberFormat="1" applyFont="1" applyFill="1" applyBorder="1" applyAlignment="1">
      <alignment horizontal="center" vertical="center" wrapText="1"/>
    </xf>
    <xf numFmtId="49" fontId="18" fillId="0" borderId="12" xfId="0" applyNumberFormat="1" applyFont="1" applyFill="1" applyBorder="1" applyAlignment="1">
      <alignment vertical="center"/>
    </xf>
    <xf numFmtId="49" fontId="18" fillId="0" borderId="12" xfId="0" applyNumberFormat="1" applyFont="1" applyFill="1" applyBorder="1" applyAlignment="1">
      <alignment horizontal="center" vertical="center"/>
    </xf>
    <xf numFmtId="0" fontId="18" fillId="0" borderId="70" xfId="0" applyFont="1" applyFill="1" applyBorder="1" applyAlignment="1">
      <alignment horizontal="left" vertical="center" wrapText="1"/>
    </xf>
    <xf numFmtId="49" fontId="32" fillId="0" borderId="55" xfId="0" applyNumberFormat="1" applyFont="1" applyFill="1" applyBorder="1" applyAlignment="1">
      <alignment horizontal="center" vertical="center" wrapText="1"/>
    </xf>
    <xf numFmtId="49" fontId="18" fillId="0" borderId="55" xfId="0" applyNumberFormat="1" applyFont="1" applyFill="1" applyBorder="1" applyAlignment="1">
      <alignment horizontal="center" vertical="center"/>
    </xf>
    <xf numFmtId="0" fontId="38" fillId="18" borderId="12" xfId="1" applyFont="1" applyFill="1" applyBorder="1" applyAlignment="1">
      <alignment horizontal="left" vertical="center" shrinkToFit="1"/>
    </xf>
    <xf numFmtId="49" fontId="35" fillId="0" borderId="12" xfId="0" applyNumberFormat="1" applyFont="1" applyFill="1" applyBorder="1" applyAlignment="1">
      <alignment horizontal="center" vertical="center"/>
    </xf>
    <xf numFmtId="0" fontId="38" fillId="18" borderId="12" xfId="1" applyFont="1" applyFill="1" applyBorder="1" applyAlignment="1">
      <alignment horizontal="left" vertical="center" wrapText="1" shrinkToFit="1"/>
    </xf>
    <xf numFmtId="49" fontId="32" fillId="0" borderId="33" xfId="0" applyNumberFormat="1" applyFont="1" applyFill="1" applyBorder="1" applyAlignment="1">
      <alignment horizontal="center" vertical="center" wrapText="1"/>
    </xf>
    <xf numFmtId="49" fontId="35" fillId="0" borderId="33" xfId="0" applyNumberFormat="1" applyFont="1" applyFill="1" applyBorder="1" applyAlignment="1">
      <alignment horizontal="center" vertical="center"/>
    </xf>
    <xf numFmtId="0" fontId="18" fillId="0" borderId="12" xfId="0" applyFont="1" applyFill="1" applyBorder="1" applyAlignment="1">
      <alignment horizontal="center" vertical="center"/>
    </xf>
    <xf numFmtId="0" fontId="18" fillId="0" borderId="70" xfId="0" applyFont="1" applyFill="1" applyBorder="1" applyAlignment="1">
      <alignment horizontal="left" vertical="center"/>
    </xf>
    <xf numFmtId="0" fontId="18" fillId="0" borderId="12" xfId="0" applyFont="1" applyFill="1" applyBorder="1" applyAlignment="1">
      <alignment horizontal="left" vertical="center"/>
    </xf>
    <xf numFmtId="0" fontId="18" fillId="0" borderId="55" xfId="0" applyFont="1" applyFill="1" applyBorder="1" applyAlignment="1">
      <alignment horizontal="center" vertical="center"/>
    </xf>
    <xf numFmtId="0" fontId="18" fillId="0" borderId="64" xfId="0" applyFont="1" applyFill="1" applyBorder="1" applyAlignment="1">
      <alignment horizontal="left" vertical="center"/>
    </xf>
    <xf numFmtId="0" fontId="18" fillId="0" borderId="64" xfId="0" applyFont="1" applyFill="1" applyBorder="1" applyAlignment="1">
      <alignment horizontal="center" vertical="center"/>
    </xf>
    <xf numFmtId="0" fontId="18" fillId="0" borderId="72" xfId="0" applyFont="1" applyFill="1" applyBorder="1" applyAlignment="1">
      <alignment horizontal="left" vertical="center"/>
    </xf>
    <xf numFmtId="49" fontId="18" fillId="0" borderId="67" xfId="0" applyNumberFormat="1" applyFont="1" applyFill="1" applyBorder="1" applyAlignment="1">
      <alignment horizontal="left" vertical="center"/>
    </xf>
    <xf numFmtId="49" fontId="18" fillId="0" borderId="73" xfId="0" applyNumberFormat="1" applyFont="1" applyFill="1" applyBorder="1" applyAlignment="1">
      <alignment horizontal="center" vertical="center"/>
    </xf>
    <xf numFmtId="49" fontId="18" fillId="0" borderId="67" xfId="0" applyNumberFormat="1" applyFont="1" applyFill="1" applyBorder="1" applyAlignment="1">
      <alignment horizontal="center" vertical="center"/>
    </xf>
    <xf numFmtId="0" fontId="18" fillId="0" borderId="68" xfId="0" applyFont="1" applyFill="1" applyBorder="1"/>
    <xf numFmtId="0" fontId="18" fillId="0" borderId="70" xfId="0" applyFont="1" applyFill="1" applyBorder="1"/>
    <xf numFmtId="49" fontId="18" fillId="0" borderId="33" xfId="0" applyNumberFormat="1" applyFont="1" applyFill="1" applyBorder="1" applyAlignment="1">
      <alignment horizontal="center" vertical="center"/>
    </xf>
    <xf numFmtId="49" fontId="18" fillId="0" borderId="12" xfId="0" applyNumberFormat="1" applyFont="1" applyFill="1" applyBorder="1" applyAlignment="1">
      <alignment horizontal="left" vertical="center"/>
    </xf>
    <xf numFmtId="49" fontId="18" fillId="0" borderId="12" xfId="0" applyNumberFormat="1" applyFont="1" applyFill="1" applyBorder="1" applyAlignment="1">
      <alignment horizontal="left" vertical="center" wrapText="1"/>
    </xf>
    <xf numFmtId="49" fontId="18" fillId="0" borderId="12" xfId="0" applyNumberFormat="1" applyFont="1" applyFill="1" applyBorder="1" applyAlignment="1">
      <alignment horizontal="center" vertical="center" wrapText="1"/>
    </xf>
    <xf numFmtId="0" fontId="18" fillId="0" borderId="70" xfId="0" applyFont="1" applyFill="1" applyBorder="1" applyAlignment="1">
      <alignment vertical="center" wrapText="1"/>
    </xf>
    <xf numFmtId="0" fontId="18" fillId="0" borderId="70" xfId="0" applyFont="1" applyFill="1" applyBorder="1" applyAlignment="1">
      <alignment vertical="center"/>
    </xf>
    <xf numFmtId="49" fontId="18" fillId="0" borderId="12" xfId="0" applyNumberFormat="1" applyFont="1" applyFill="1" applyBorder="1" applyAlignment="1">
      <alignment horizontal="left" vertical="center" shrinkToFit="1"/>
    </xf>
    <xf numFmtId="49" fontId="18" fillId="0" borderId="12" xfId="0" applyNumberFormat="1" applyFont="1" applyFill="1" applyBorder="1" applyAlignment="1">
      <alignment horizontal="center" vertical="center" shrinkToFit="1"/>
    </xf>
    <xf numFmtId="49" fontId="18" fillId="18" borderId="12" xfId="0" applyNumberFormat="1" applyFont="1" applyFill="1" applyBorder="1" applyAlignment="1">
      <alignment horizontal="left" vertical="center"/>
    </xf>
    <xf numFmtId="49" fontId="18" fillId="0" borderId="70" xfId="0" applyNumberFormat="1" applyFont="1" applyFill="1" applyBorder="1" applyAlignment="1">
      <alignment horizontal="left" vertical="center"/>
    </xf>
    <xf numFmtId="49" fontId="32" fillId="0" borderId="64" xfId="0" applyNumberFormat="1" applyFont="1" applyFill="1" applyBorder="1" applyAlignment="1">
      <alignment horizontal="center" vertical="center" wrapText="1"/>
    </xf>
    <xf numFmtId="49" fontId="18" fillId="0" borderId="64" xfId="0" applyNumberFormat="1" applyFont="1" applyFill="1" applyBorder="1" applyAlignment="1">
      <alignment vertical="center"/>
    </xf>
    <xf numFmtId="49" fontId="18" fillId="0" borderId="64" xfId="0" applyNumberFormat="1" applyFont="1" applyFill="1" applyBorder="1" applyAlignment="1">
      <alignment horizontal="center" vertical="center"/>
    </xf>
    <xf numFmtId="49" fontId="18" fillId="0" borderId="64" xfId="0" applyNumberFormat="1" applyFont="1" applyFill="1" applyBorder="1" applyAlignment="1">
      <alignment horizontal="center" vertical="center" shrinkToFit="1"/>
    </xf>
    <xf numFmtId="0" fontId="18" fillId="0" borderId="72" xfId="0" applyFont="1" applyFill="1" applyBorder="1" applyAlignment="1">
      <alignment vertical="center"/>
    </xf>
    <xf numFmtId="0" fontId="18" fillId="0" borderId="67" xfId="0" applyFont="1" applyFill="1" applyBorder="1" applyAlignment="1">
      <alignment horizontal="left" vertical="center"/>
    </xf>
    <xf numFmtId="0" fontId="18" fillId="0" borderId="67" xfId="0" applyFont="1" applyFill="1" applyBorder="1" applyAlignment="1">
      <alignment horizontal="center" vertical="center"/>
    </xf>
    <xf numFmtId="0" fontId="18" fillId="0" borderId="12" xfId="0" applyNumberFormat="1" applyFont="1" applyFill="1" applyBorder="1" applyAlignment="1">
      <alignment horizontal="left" vertical="center"/>
    </xf>
    <xf numFmtId="0" fontId="18" fillId="5" borderId="12" xfId="1" applyFont="1" applyFill="1" applyBorder="1" applyAlignment="1">
      <alignment horizontal="left" vertical="center" shrinkToFit="1"/>
    </xf>
    <xf numFmtId="0" fontId="18" fillId="0" borderId="67" xfId="0" applyNumberFormat="1" applyFont="1" applyFill="1" applyBorder="1" applyAlignment="1">
      <alignment horizontal="left" vertical="center"/>
    </xf>
    <xf numFmtId="0" fontId="18" fillId="0" borderId="67" xfId="0" applyNumberFormat="1" applyFont="1" applyFill="1" applyBorder="1" applyAlignment="1">
      <alignment horizontal="center" vertical="center"/>
    </xf>
    <xf numFmtId="0" fontId="18" fillId="0" borderId="12" xfId="0" applyNumberFormat="1" applyFont="1" applyFill="1" applyBorder="1" applyAlignment="1">
      <alignment vertical="center"/>
    </xf>
    <xf numFmtId="0" fontId="18" fillId="0" borderId="12" xfId="0" applyNumberFormat="1" applyFont="1" applyFill="1" applyBorder="1" applyAlignment="1">
      <alignment horizontal="center" vertical="center"/>
    </xf>
    <xf numFmtId="0" fontId="18" fillId="0" borderId="74" xfId="0" applyNumberFormat="1" applyFont="1" applyFill="1" applyBorder="1" applyAlignment="1">
      <alignment horizontal="center" vertical="center"/>
    </xf>
    <xf numFmtId="0" fontId="18" fillId="18" borderId="12" xfId="0" applyFont="1" applyFill="1" applyBorder="1" applyAlignment="1">
      <alignment horizontal="left" vertical="center"/>
    </xf>
    <xf numFmtId="0" fontId="38" fillId="5" borderId="12" xfId="1" applyFont="1" applyFill="1" applyBorder="1" applyAlignment="1">
      <alignment horizontal="left" vertical="center" shrinkToFit="1"/>
    </xf>
    <xf numFmtId="0" fontId="18" fillId="5" borderId="12" xfId="0" applyFont="1" applyFill="1" applyBorder="1" applyAlignment="1">
      <alignment horizontal="left" vertical="center"/>
    </xf>
    <xf numFmtId="49" fontId="18" fillId="0" borderId="33" xfId="0" applyNumberFormat="1" applyFont="1" applyFill="1" applyBorder="1" applyAlignment="1">
      <alignment horizontal="left" vertical="center"/>
    </xf>
    <xf numFmtId="0" fontId="18" fillId="0" borderId="75" xfId="0" applyFont="1" applyFill="1" applyBorder="1"/>
    <xf numFmtId="49" fontId="18" fillId="0" borderId="64" xfId="0" applyNumberFormat="1" applyFont="1" applyFill="1" applyBorder="1" applyAlignment="1">
      <alignment horizontal="left" vertical="center"/>
    </xf>
    <xf numFmtId="0" fontId="18" fillId="0" borderId="72" xfId="0" applyFont="1" applyFill="1" applyBorder="1"/>
    <xf numFmtId="0" fontId="18" fillId="19" borderId="67" xfId="0" applyFont="1" applyFill="1" applyBorder="1" applyAlignment="1">
      <alignment horizontal="left" vertical="center"/>
    </xf>
    <xf numFmtId="0" fontId="18" fillId="19" borderId="68" xfId="0" applyFont="1" applyFill="1" applyBorder="1" applyAlignment="1">
      <alignment horizontal="left" vertical="center"/>
    </xf>
    <xf numFmtId="0" fontId="18" fillId="19" borderId="12" xfId="0" applyFont="1" applyFill="1" applyBorder="1" applyAlignment="1">
      <alignment horizontal="left" vertical="center"/>
    </xf>
    <xf numFmtId="0" fontId="18" fillId="19" borderId="70" xfId="0" applyFont="1" applyFill="1" applyBorder="1" applyAlignment="1">
      <alignment horizontal="left" vertical="center"/>
    </xf>
    <xf numFmtId="0" fontId="18" fillId="0" borderId="12" xfId="0" applyFont="1" applyFill="1" applyBorder="1" applyAlignment="1">
      <alignment horizontal="center" vertical="center" wrapText="1"/>
    </xf>
    <xf numFmtId="0" fontId="18" fillId="0" borderId="70" xfId="0" applyFont="1" applyFill="1" applyBorder="1" applyAlignment="1">
      <alignment horizontal="left" vertical="center" wrapText="1" shrinkToFit="1"/>
    </xf>
    <xf numFmtId="0" fontId="18" fillId="0" borderId="12" xfId="5" applyFont="1" applyFill="1" applyBorder="1" applyAlignment="1">
      <alignment horizontal="left" vertical="center"/>
    </xf>
    <xf numFmtId="0" fontId="18" fillId="0" borderId="12" xfId="5" applyFont="1" applyFill="1" applyBorder="1" applyAlignment="1">
      <alignment horizontal="center" vertical="center"/>
    </xf>
    <xf numFmtId="0" fontId="18" fillId="0" borderId="64" xfId="5" applyFont="1" applyFill="1" applyBorder="1" applyAlignment="1">
      <alignment horizontal="left" vertical="center"/>
    </xf>
    <xf numFmtId="0" fontId="18" fillId="0" borderId="64" xfId="5" applyFont="1" applyFill="1" applyBorder="1" applyAlignment="1">
      <alignment horizontal="center" vertical="center"/>
    </xf>
    <xf numFmtId="0" fontId="18" fillId="0" borderId="64" xfId="0" applyFont="1" applyFill="1" applyBorder="1" applyAlignment="1">
      <alignment horizontal="center" vertical="center" wrapText="1"/>
    </xf>
    <xf numFmtId="0" fontId="18" fillId="0" borderId="72" xfId="0" applyFont="1" applyFill="1" applyBorder="1" applyAlignment="1">
      <alignment horizontal="left" vertical="center" wrapText="1" shrinkToFit="1"/>
    </xf>
    <xf numFmtId="0" fontId="18" fillId="0" borderId="68" xfId="0" applyFont="1" applyFill="1" applyBorder="1" applyAlignment="1">
      <alignment vertical="center" wrapText="1"/>
    </xf>
    <xf numFmtId="0" fontId="18" fillId="0" borderId="67" xfId="5" applyFont="1" applyFill="1" applyBorder="1" applyAlignment="1">
      <alignment horizontal="left" vertical="center"/>
    </xf>
    <xf numFmtId="0" fontId="18" fillId="0" borderId="67" xfId="5" applyFont="1" applyFill="1" applyBorder="1" applyAlignment="1">
      <alignment horizontal="center" vertical="center"/>
    </xf>
    <xf numFmtId="49" fontId="18" fillId="0" borderId="67" xfId="0" applyNumberFormat="1" applyFont="1" applyFill="1" applyBorder="1" applyAlignment="1">
      <alignment horizontal="center" vertical="center" wrapText="1"/>
    </xf>
    <xf numFmtId="49" fontId="18" fillId="0" borderId="68" xfId="0" applyNumberFormat="1" applyFont="1" applyFill="1" applyBorder="1" applyAlignment="1">
      <alignment vertical="center" wrapText="1" shrinkToFit="1"/>
    </xf>
    <xf numFmtId="0" fontId="18" fillId="0" borderId="33" xfId="5" applyFont="1" applyFill="1" applyBorder="1" applyAlignment="1">
      <alignment horizontal="left" vertical="center"/>
    </xf>
    <xf numFmtId="49" fontId="18" fillId="0" borderId="75" xfId="0" applyNumberFormat="1" applyFont="1" applyFill="1" applyBorder="1" applyAlignment="1">
      <alignment vertical="center" wrapText="1" shrinkToFit="1"/>
    </xf>
    <xf numFmtId="49" fontId="18" fillId="0" borderId="12" xfId="0" applyNumberFormat="1" applyFont="1" applyFill="1" applyBorder="1" applyAlignment="1">
      <alignment horizontal="center" vertical="center" wrapText="1" shrinkToFit="1"/>
    </xf>
    <xf numFmtId="49" fontId="32" fillId="0" borderId="64" xfId="0" applyNumberFormat="1" applyFont="1" applyFill="1" applyBorder="1" applyAlignment="1">
      <alignment horizontal="center" vertical="center" wrapText="1" shrinkToFit="1"/>
    </xf>
    <xf numFmtId="0" fontId="18" fillId="18" borderId="64" xfId="0" applyFont="1" applyFill="1" applyBorder="1" applyAlignment="1">
      <alignment horizontal="left" vertical="center"/>
    </xf>
    <xf numFmtId="49" fontId="18" fillId="0" borderId="64" xfId="0" applyNumberFormat="1" applyFont="1" applyFill="1" applyBorder="1" applyAlignment="1">
      <alignment horizontal="center" vertical="center" wrapText="1" shrinkToFit="1"/>
    </xf>
    <xf numFmtId="49" fontId="18" fillId="0" borderId="72" xfId="0" applyNumberFormat="1" applyFont="1" applyFill="1" applyBorder="1" applyAlignment="1">
      <alignment vertical="center" wrapText="1" shrinkToFit="1"/>
    </xf>
    <xf numFmtId="49" fontId="18" fillId="0" borderId="67" xfId="0" applyNumberFormat="1" applyFont="1" applyFill="1" applyBorder="1" applyAlignment="1">
      <alignment horizontal="left" vertical="center" wrapText="1" shrinkToFit="1"/>
    </xf>
    <xf numFmtId="49" fontId="18" fillId="0" borderId="67" xfId="0" applyNumberFormat="1" applyFont="1" applyFill="1" applyBorder="1" applyAlignment="1">
      <alignment horizontal="center" vertical="center" wrapText="1" shrinkToFit="1"/>
    </xf>
    <xf numFmtId="49" fontId="18" fillId="0" borderId="12" xfId="0" applyNumberFormat="1" applyFont="1" applyFill="1" applyBorder="1" applyAlignment="1">
      <alignment horizontal="left" vertical="center" wrapText="1" shrinkToFit="1"/>
    </xf>
    <xf numFmtId="49" fontId="32" fillId="0" borderId="64" xfId="0" applyNumberFormat="1" applyFont="1" applyFill="1" applyBorder="1" applyAlignment="1">
      <alignment horizontal="center" vertical="center"/>
    </xf>
    <xf numFmtId="49" fontId="18" fillId="0" borderId="64" xfId="0" applyNumberFormat="1" applyFont="1" applyFill="1" applyBorder="1" applyAlignment="1">
      <alignment horizontal="left" vertical="center" wrapText="1" shrinkToFit="1"/>
    </xf>
    <xf numFmtId="49" fontId="18" fillId="0" borderId="72" xfId="0" applyNumberFormat="1" applyFont="1" applyFill="1" applyBorder="1" applyAlignment="1">
      <alignment horizontal="left" vertical="center" wrapText="1" shrinkToFit="1"/>
    </xf>
    <xf numFmtId="49" fontId="32" fillId="0" borderId="67" xfId="0" applyNumberFormat="1" applyFont="1" applyFill="1" applyBorder="1" applyAlignment="1">
      <alignment horizontal="center" vertical="center" wrapText="1" shrinkToFit="1"/>
    </xf>
    <xf numFmtId="0" fontId="18" fillId="0" borderId="68" xfId="0" applyFont="1" applyFill="1" applyBorder="1" applyAlignment="1">
      <alignment horizontal="left" vertical="center" wrapText="1" shrinkToFit="1"/>
    </xf>
    <xf numFmtId="49" fontId="32" fillId="0" borderId="12" xfId="0" applyNumberFormat="1" applyFont="1" applyFill="1" applyBorder="1" applyAlignment="1">
      <alignment horizontal="center" vertical="center" wrapText="1" shrinkToFit="1"/>
    </xf>
    <xf numFmtId="49" fontId="32" fillId="0" borderId="55" xfId="0" applyNumberFormat="1" applyFont="1" applyFill="1" applyBorder="1" applyAlignment="1">
      <alignment horizontal="center" vertical="center"/>
    </xf>
    <xf numFmtId="49" fontId="32" fillId="0" borderId="12" xfId="0" applyNumberFormat="1" applyFont="1" applyFill="1" applyBorder="1" applyAlignment="1">
      <alignment horizontal="center" vertical="center"/>
    </xf>
    <xf numFmtId="0" fontId="18" fillId="0" borderId="70" xfId="0" applyFont="1" applyFill="1" applyBorder="1" applyAlignment="1">
      <alignment horizontal="left"/>
    </xf>
    <xf numFmtId="49" fontId="32" fillId="0" borderId="33" xfId="0" applyNumberFormat="1" applyFont="1" applyFill="1" applyBorder="1" applyAlignment="1">
      <alignment horizontal="center" vertical="center" wrapText="1" shrinkToFit="1"/>
    </xf>
    <xf numFmtId="49" fontId="16" fillId="18" borderId="12" xfId="0" applyNumberFormat="1" applyFont="1" applyFill="1" applyBorder="1" applyAlignment="1">
      <alignment horizontal="left" vertical="center" wrapText="1" shrinkToFit="1"/>
    </xf>
    <xf numFmtId="0" fontId="16" fillId="18" borderId="64" xfId="0" applyFont="1" applyFill="1" applyBorder="1" applyAlignment="1">
      <alignment horizontal="left" vertical="center"/>
    </xf>
    <xf numFmtId="49" fontId="18" fillId="0" borderId="64" xfId="0" applyNumberFormat="1" applyFont="1" applyFill="1" applyBorder="1" applyAlignment="1">
      <alignment horizontal="center" vertical="center" wrapText="1"/>
    </xf>
    <xf numFmtId="0" fontId="18" fillId="0" borderId="72" xfId="0" applyFont="1" applyFill="1" applyBorder="1" applyAlignment="1">
      <alignment horizontal="left"/>
    </xf>
    <xf numFmtId="0" fontId="18" fillId="0" borderId="70" xfId="0" applyFont="1" applyFill="1" applyBorder="1" applyAlignment="1">
      <alignment wrapText="1"/>
    </xf>
    <xf numFmtId="49" fontId="16" fillId="18" borderId="12" xfId="0" applyNumberFormat="1" applyFont="1" applyFill="1" applyBorder="1" applyAlignment="1">
      <alignment horizontal="left" vertical="center"/>
    </xf>
    <xf numFmtId="49" fontId="16" fillId="18" borderId="64" xfId="0" applyNumberFormat="1" applyFont="1" applyFill="1" applyBorder="1" applyAlignment="1">
      <alignment horizontal="left" vertical="center"/>
    </xf>
    <xf numFmtId="0" fontId="18" fillId="0" borderId="67" xfId="0" applyFont="1" applyFill="1" applyBorder="1" applyAlignment="1">
      <alignment horizontal="center" vertical="center" wrapText="1"/>
    </xf>
    <xf numFmtId="0" fontId="18" fillId="0" borderId="68" xfId="0" applyFont="1" applyFill="1" applyBorder="1" applyAlignment="1">
      <alignment horizontal="left" wrapText="1"/>
    </xf>
    <xf numFmtId="0" fontId="18" fillId="0" borderId="70" xfId="0" applyFont="1" applyFill="1" applyBorder="1" applyAlignment="1">
      <alignment horizontal="left" wrapText="1"/>
    </xf>
    <xf numFmtId="0" fontId="16" fillId="18" borderId="12" xfId="0" applyFont="1" applyFill="1" applyBorder="1" applyAlignment="1">
      <alignment horizontal="left" vertical="center"/>
    </xf>
    <xf numFmtId="0" fontId="16" fillId="0" borderId="64" xfId="0" applyFont="1" applyFill="1" applyBorder="1" applyAlignment="1">
      <alignment horizontal="left" vertical="center"/>
    </xf>
    <xf numFmtId="0" fontId="18" fillId="0" borderId="72" xfId="0" applyFont="1" applyFill="1" applyBorder="1" applyAlignment="1">
      <alignment horizontal="left" wrapText="1"/>
    </xf>
    <xf numFmtId="0" fontId="16" fillId="18" borderId="12" xfId="1" applyFont="1" applyFill="1" applyBorder="1" applyAlignment="1">
      <alignment horizontal="left" vertical="center" shrinkToFit="1"/>
    </xf>
    <xf numFmtId="49" fontId="36" fillId="0" borderId="67" xfId="0" applyNumberFormat="1" applyFont="1" applyFill="1" applyBorder="1" applyAlignment="1">
      <alignment horizontal="left" vertical="center"/>
    </xf>
    <xf numFmtId="0" fontId="2" fillId="20" borderId="0" xfId="1" applyFill="1">
      <alignment vertical="center"/>
    </xf>
    <xf numFmtId="0" fontId="0" fillId="20" borderId="0" xfId="0" applyFill="1"/>
    <xf numFmtId="49" fontId="0" fillId="0" borderId="0" xfId="0" applyNumberFormat="1"/>
    <xf numFmtId="0" fontId="39" fillId="0" borderId="0" xfId="0" applyFont="1"/>
    <xf numFmtId="49" fontId="39" fillId="0" borderId="0" xfId="0" applyNumberFormat="1" applyFont="1"/>
    <xf numFmtId="0" fontId="16" fillId="0" borderId="78" xfId="0" applyFont="1" applyFill="1" applyBorder="1" applyAlignment="1">
      <alignment horizontal="left" vertical="center" wrapText="1"/>
    </xf>
    <xf numFmtId="0" fontId="16" fillId="21" borderId="79" xfId="0" applyFont="1" applyFill="1" applyBorder="1" applyAlignment="1">
      <alignment horizontal="left" vertical="center" wrapText="1"/>
    </xf>
    <xf numFmtId="0" fontId="16" fillId="21" borderId="78" xfId="0" applyFont="1" applyFill="1" applyBorder="1" applyAlignment="1">
      <alignment horizontal="left" vertical="center" wrapText="1"/>
    </xf>
    <xf numFmtId="0" fontId="16" fillId="21" borderId="80" xfId="0" applyFont="1" applyFill="1" applyBorder="1" applyAlignment="1">
      <alignment horizontal="left" vertical="center" wrapText="1"/>
    </xf>
    <xf numFmtId="0" fontId="16" fillId="21" borderId="12" xfId="0" applyFont="1" applyFill="1" applyBorder="1" applyAlignment="1">
      <alignment horizontal="left" vertical="center" wrapText="1"/>
    </xf>
    <xf numFmtId="0" fontId="16" fillId="21" borderId="33" xfId="0" applyFont="1" applyFill="1" applyBorder="1" applyAlignment="1">
      <alignment horizontal="left" vertical="center" wrapText="1"/>
    </xf>
    <xf numFmtId="0" fontId="32" fillId="17" borderId="56" xfId="0" applyNumberFormat="1" applyFont="1" applyFill="1" applyBorder="1" applyAlignment="1">
      <alignment horizontal="center" vertical="center" wrapText="1"/>
    </xf>
    <xf numFmtId="0" fontId="2" fillId="11" borderId="12" xfId="1" applyFill="1" applyBorder="1" applyAlignment="1">
      <alignment vertical="center" wrapText="1"/>
    </xf>
    <xf numFmtId="0" fontId="2" fillId="23" borderId="0" xfId="1" applyFill="1">
      <alignment vertical="center"/>
    </xf>
    <xf numFmtId="0" fontId="2" fillId="23" borderId="12" xfId="1" applyFill="1" applyBorder="1" applyAlignment="1">
      <alignment vertical="center" wrapText="1"/>
    </xf>
    <xf numFmtId="0" fontId="14" fillId="22" borderId="12" xfId="0" applyFont="1" applyFill="1" applyBorder="1" applyAlignment="1">
      <alignment horizontal="center" vertical="center"/>
    </xf>
    <xf numFmtId="0" fontId="14" fillId="22" borderId="53" xfId="0" applyFont="1" applyFill="1" applyBorder="1" applyAlignment="1">
      <alignment horizontal="center" vertical="center"/>
    </xf>
    <xf numFmtId="0" fontId="8" fillId="22" borderId="18" xfId="1" applyFont="1" applyFill="1" applyBorder="1" applyAlignment="1" applyProtection="1">
      <alignment horizontal="center" vertical="center" wrapText="1" shrinkToFit="1"/>
      <protection locked="0"/>
    </xf>
    <xf numFmtId="0" fontId="8" fillId="22" borderId="19" xfId="1" applyFont="1" applyFill="1" applyBorder="1" applyAlignment="1" applyProtection="1">
      <alignment horizontal="center" vertical="center"/>
      <protection locked="0"/>
    </xf>
    <xf numFmtId="0" fontId="9" fillId="22" borderId="19" xfId="1" applyFont="1" applyFill="1" applyBorder="1" applyAlignment="1" applyProtection="1">
      <alignment horizontal="center" vertical="center"/>
      <protection locked="0"/>
    </xf>
    <xf numFmtId="0" fontId="8" fillId="22" borderId="11" xfId="1" applyFont="1" applyFill="1" applyBorder="1" applyAlignment="1" applyProtection="1">
      <alignment horizontal="center" vertical="center" wrapText="1" shrinkToFit="1"/>
      <protection locked="0"/>
    </xf>
    <xf numFmtId="0" fontId="8" fillId="22" borderId="7" xfId="1" applyFont="1" applyFill="1" applyBorder="1" applyAlignment="1" applyProtection="1">
      <alignment horizontal="center" vertical="center"/>
      <protection locked="0"/>
    </xf>
    <xf numFmtId="0" fontId="8" fillId="22" borderId="7" xfId="1" applyFont="1" applyFill="1" applyBorder="1" applyAlignment="1" applyProtection="1">
      <alignment horizontal="center" vertical="center" wrapText="1"/>
      <protection locked="0"/>
    </xf>
    <xf numFmtId="49" fontId="8" fillId="16" borderId="10" xfId="1" applyNumberFormat="1" applyFont="1" applyFill="1" applyBorder="1" applyAlignment="1" applyProtection="1">
      <alignment horizontal="left" vertical="center" wrapText="1"/>
      <protection locked="0"/>
    </xf>
    <xf numFmtId="49" fontId="8" fillId="16" borderId="5" xfId="1" applyNumberFormat="1" applyFont="1" applyFill="1" applyBorder="1" applyAlignment="1" applyProtection="1">
      <alignment horizontal="left" vertical="center" wrapText="1"/>
      <protection locked="0"/>
    </xf>
    <xf numFmtId="49" fontId="8" fillId="16" borderId="5" xfId="1" applyNumberFormat="1" applyFont="1" applyFill="1" applyBorder="1" applyAlignment="1" applyProtection="1">
      <alignment horizontal="left" vertical="center"/>
      <protection locked="0"/>
    </xf>
    <xf numFmtId="49" fontId="9" fillId="16" borderId="5" xfId="1" applyNumberFormat="1" applyFont="1" applyFill="1" applyBorder="1" applyAlignment="1" applyProtection="1">
      <alignment horizontal="left" vertical="center" wrapText="1"/>
      <protection locked="0"/>
    </xf>
    <xf numFmtId="0" fontId="25" fillId="11" borderId="12" xfId="2" applyFont="1" applyFill="1" applyBorder="1" applyAlignment="1"/>
    <xf numFmtId="0" fontId="25" fillId="11" borderId="12" xfId="2" applyFont="1" applyFill="1" applyBorder="1" applyAlignment="1">
      <alignment vertical="center"/>
    </xf>
    <xf numFmtId="0" fontId="14" fillId="23" borderId="4" xfId="1" applyFont="1" applyFill="1" applyBorder="1" applyAlignment="1">
      <alignment horizontal="center" vertical="center"/>
    </xf>
    <xf numFmtId="14" fontId="11" fillId="23" borderId="1" xfId="1" applyNumberFormat="1" applyFont="1" applyFill="1" applyBorder="1" applyAlignment="1">
      <alignment horizontal="center" vertical="center"/>
    </xf>
    <xf numFmtId="0" fontId="2" fillId="11" borderId="12" xfId="1" applyFont="1" applyFill="1" applyBorder="1" applyAlignment="1">
      <alignment vertical="center" wrapText="1"/>
    </xf>
    <xf numFmtId="0" fontId="32" fillId="17" borderId="81" xfId="0" applyNumberFormat="1" applyFont="1" applyFill="1" applyBorder="1" applyAlignment="1">
      <alignment horizontal="center" vertical="center" wrapText="1"/>
    </xf>
    <xf numFmtId="0" fontId="36" fillId="0" borderId="67" xfId="0" applyNumberFormat="1" applyFont="1" applyFill="1" applyBorder="1" applyAlignment="1">
      <alignment horizontal="left" vertical="center"/>
    </xf>
    <xf numFmtId="0" fontId="16" fillId="0" borderId="12" xfId="0" applyFont="1" applyFill="1" applyBorder="1" applyAlignment="1">
      <alignment horizontal="left" vertical="center"/>
    </xf>
    <xf numFmtId="49" fontId="16" fillId="0" borderId="12" xfId="0" applyNumberFormat="1" applyFont="1" applyFill="1" applyBorder="1" applyAlignment="1">
      <alignment vertical="center"/>
    </xf>
    <xf numFmtId="0" fontId="2" fillId="2" borderId="0" xfId="1" applyNumberFormat="1" applyFill="1">
      <alignment vertical="center"/>
    </xf>
    <xf numFmtId="0" fontId="0" fillId="0" borderId="0" xfId="0" applyNumberFormat="1"/>
    <xf numFmtId="0" fontId="9" fillId="5" borderId="12" xfId="1" applyNumberFormat="1" applyFont="1" applyFill="1" applyBorder="1" applyAlignment="1" applyProtection="1">
      <alignment horizontal="left" vertical="center" wrapText="1"/>
      <protection locked="0"/>
    </xf>
    <xf numFmtId="0" fontId="0" fillId="0" borderId="12" xfId="0" applyNumberFormat="1" applyBorder="1"/>
    <xf numFmtId="0" fontId="9" fillId="11" borderId="12" xfId="1" applyNumberFormat="1" applyFont="1" applyFill="1" applyBorder="1" applyAlignment="1" applyProtection="1">
      <alignment horizontal="left" vertical="center" wrapText="1"/>
      <protection locked="0"/>
    </xf>
    <xf numFmtId="0" fontId="0" fillId="11" borderId="12" xfId="0" applyNumberFormat="1" applyFill="1" applyBorder="1"/>
    <xf numFmtId="0" fontId="0" fillId="13" borderId="0" xfId="0" applyNumberFormat="1" applyFill="1"/>
    <xf numFmtId="0" fontId="9" fillId="11" borderId="12" xfId="1" applyNumberFormat="1" applyFont="1" applyFill="1" applyBorder="1" applyAlignment="1" applyProtection="1">
      <alignment horizontal="left" vertical="center" wrapText="1"/>
    </xf>
    <xf numFmtId="0" fontId="2" fillId="11" borderId="0" xfId="1" applyFill="1" applyAlignment="1">
      <alignment vertical="center" wrapText="1"/>
    </xf>
    <xf numFmtId="0" fontId="2" fillId="11" borderId="0" xfId="1" applyFill="1" applyAlignment="1">
      <alignment horizontal="center" vertical="center"/>
    </xf>
    <xf numFmtId="49" fontId="14" fillId="22" borderId="12" xfId="0" applyNumberFormat="1" applyFont="1" applyFill="1" applyBorder="1" applyAlignment="1">
      <alignment horizontal="left" vertical="center" wrapText="1"/>
    </xf>
    <xf numFmtId="49" fontId="18" fillId="24" borderId="12" xfId="1" applyNumberFormat="1" applyFont="1" applyFill="1" applyBorder="1" applyAlignment="1">
      <alignment vertical="center"/>
    </xf>
    <xf numFmtId="0" fontId="32" fillId="17" borderId="83" xfId="1" applyFont="1" applyFill="1" applyBorder="1" applyAlignment="1">
      <alignment horizontal="center" vertical="center" wrapText="1"/>
    </xf>
    <xf numFmtId="0" fontId="32" fillId="17" borderId="84" xfId="1" applyFont="1" applyFill="1" applyBorder="1" applyAlignment="1">
      <alignment horizontal="center" vertical="center" wrapText="1"/>
    </xf>
    <xf numFmtId="49" fontId="18" fillId="25" borderId="12" xfId="1" applyNumberFormat="1" applyFont="1" applyFill="1" applyBorder="1" applyAlignment="1">
      <alignment vertical="center"/>
    </xf>
    <xf numFmtId="0" fontId="18" fillId="8" borderId="12" xfId="1" applyFont="1" applyFill="1" applyBorder="1" applyAlignment="1">
      <alignment vertical="center"/>
    </xf>
    <xf numFmtId="49" fontId="18" fillId="8" borderId="12" xfId="1" applyNumberFormat="1" applyFont="1" applyFill="1" applyBorder="1" applyAlignment="1">
      <alignment vertical="center"/>
    </xf>
    <xf numFmtId="0" fontId="18" fillId="26" borderId="12" xfId="1" applyFont="1" applyFill="1" applyBorder="1" applyAlignment="1">
      <alignment vertical="center"/>
    </xf>
    <xf numFmtId="49" fontId="18" fillId="26" borderId="12" xfId="1" applyNumberFormat="1" applyFont="1" applyFill="1" applyBorder="1" applyAlignment="1">
      <alignment vertical="center"/>
    </xf>
    <xf numFmtId="0" fontId="16" fillId="26" borderId="12" xfId="1" applyFont="1" applyFill="1" applyBorder="1" applyAlignment="1">
      <alignment vertical="center"/>
    </xf>
    <xf numFmtId="0" fontId="18" fillId="27" borderId="12" xfId="1" applyFont="1" applyFill="1" applyBorder="1" applyAlignment="1">
      <alignment vertical="center"/>
    </xf>
    <xf numFmtId="49" fontId="18" fillId="27" borderId="12" xfId="1" applyNumberFormat="1" applyFont="1" applyFill="1" applyBorder="1" applyAlignment="1">
      <alignment vertical="center"/>
    </xf>
    <xf numFmtId="0" fontId="16" fillId="27" borderId="12" xfId="1" applyFont="1" applyFill="1" applyBorder="1" applyAlignment="1">
      <alignment vertical="center"/>
    </xf>
    <xf numFmtId="0" fontId="18" fillId="28" borderId="12" xfId="1" applyFont="1" applyFill="1" applyBorder="1" applyAlignment="1">
      <alignment vertical="center"/>
    </xf>
    <xf numFmtId="49" fontId="18" fillId="28" borderId="12" xfId="1" applyNumberFormat="1" applyFont="1" applyFill="1" applyBorder="1" applyAlignment="1">
      <alignment vertical="center"/>
    </xf>
    <xf numFmtId="0" fontId="16" fillId="28" borderId="12" xfId="1" applyFont="1" applyFill="1" applyBorder="1" applyAlignment="1">
      <alignment vertical="center"/>
    </xf>
    <xf numFmtId="0" fontId="16" fillId="30" borderId="12" xfId="1" applyFont="1" applyFill="1" applyBorder="1" applyAlignment="1">
      <alignment vertical="center"/>
    </xf>
    <xf numFmtId="49" fontId="18" fillId="30" borderId="12" xfId="1" applyNumberFormat="1" applyFont="1" applyFill="1" applyBorder="1" applyAlignment="1">
      <alignment vertical="center"/>
    </xf>
    <xf numFmtId="49" fontId="18" fillId="31" borderId="12" xfId="1" applyNumberFormat="1" applyFont="1" applyFill="1" applyBorder="1" applyAlignment="1">
      <alignment vertical="center"/>
    </xf>
    <xf numFmtId="0" fontId="32" fillId="17" borderId="82" xfId="1" applyFont="1" applyFill="1" applyBorder="1" applyAlignment="1">
      <alignment horizontal="center" vertical="center" wrapText="1"/>
    </xf>
    <xf numFmtId="0" fontId="32" fillId="17" borderId="83" xfId="1" applyNumberFormat="1" applyFont="1" applyFill="1" applyBorder="1" applyAlignment="1">
      <alignment horizontal="center" vertical="center" wrapText="1"/>
    </xf>
    <xf numFmtId="49" fontId="32" fillId="17" borderId="83" xfId="1" applyNumberFormat="1" applyFont="1" applyFill="1" applyBorder="1" applyAlignment="1">
      <alignment horizontal="center" vertical="center" wrapText="1"/>
    </xf>
    <xf numFmtId="49" fontId="16" fillId="0" borderId="33" xfId="0" applyNumberFormat="1" applyFont="1" applyFill="1" applyBorder="1" applyAlignment="1">
      <alignment horizontal="left" vertical="center"/>
    </xf>
    <xf numFmtId="49" fontId="8" fillId="16" borderId="5" xfId="1" applyNumberFormat="1" applyFont="1" applyFill="1" applyBorder="1" applyAlignment="1" applyProtection="1">
      <alignment horizontal="left" vertical="center"/>
      <protection locked="0"/>
    </xf>
    <xf numFmtId="49" fontId="15" fillId="0" borderId="0" xfId="0" applyNumberFormat="1" applyFont="1" applyAlignment="1"/>
    <xf numFmtId="49" fontId="15" fillId="0" borderId="0" xfId="0" applyNumberFormat="1" applyFont="1" applyAlignment="1">
      <alignment horizontal="center" vertical="center"/>
    </xf>
    <xf numFmtId="49" fontId="15" fillId="0" borderId="0" xfId="0" applyNumberFormat="1" applyFont="1" applyAlignment="1">
      <alignment vertical="center"/>
    </xf>
    <xf numFmtId="49" fontId="29" fillId="11" borderId="12" xfId="0" applyNumberFormat="1" applyFont="1" applyFill="1" applyBorder="1" applyAlignment="1">
      <alignment horizontal="left" vertical="center"/>
    </xf>
    <xf numFmtId="49" fontId="27" fillId="11" borderId="12" xfId="4" applyNumberFormat="1" applyFont="1" applyFill="1" applyBorder="1">
      <alignment vertical="center"/>
    </xf>
    <xf numFmtId="49" fontId="29" fillId="29" borderId="12" xfId="0" applyNumberFormat="1" applyFont="1" applyFill="1" applyBorder="1" applyAlignment="1">
      <alignment vertical="center"/>
    </xf>
    <xf numFmtId="49" fontId="31" fillId="11" borderId="12" xfId="0" applyNumberFormat="1" applyFont="1" applyFill="1" applyBorder="1" applyAlignment="1">
      <alignment horizontal="left" vertical="center"/>
    </xf>
    <xf numFmtId="49" fontId="11" fillId="29" borderId="12" xfId="4" applyNumberFormat="1" applyFont="1" applyFill="1" applyBorder="1">
      <alignment vertical="center"/>
    </xf>
    <xf numFmtId="49" fontId="28" fillId="11" borderId="12" xfId="0" applyNumberFormat="1" applyFont="1" applyFill="1" applyBorder="1" applyAlignment="1">
      <alignment horizontal="left" vertical="center"/>
    </xf>
    <xf numFmtId="49" fontId="28" fillId="11" borderId="12" xfId="0" applyNumberFormat="1" applyFont="1" applyFill="1" applyBorder="1" applyAlignment="1">
      <alignment horizontal="right" vertical="center"/>
    </xf>
    <xf numFmtId="49" fontId="28" fillId="11" borderId="12" xfId="0" applyNumberFormat="1" applyFont="1" applyFill="1" applyBorder="1" applyAlignment="1">
      <alignment vertical="center"/>
    </xf>
    <xf numFmtId="49" fontId="18" fillId="0" borderId="12" xfId="1" applyNumberFormat="1" applyFont="1" applyFill="1" applyBorder="1" applyAlignment="1">
      <alignment vertical="center"/>
    </xf>
    <xf numFmtId="49" fontId="18" fillId="0" borderId="12" xfId="1" applyNumberFormat="1" applyFont="1" applyFill="1" applyBorder="1" applyAlignment="1">
      <alignment horizontal="center" vertical="center"/>
    </xf>
    <xf numFmtId="49" fontId="18" fillId="0" borderId="73" xfId="1" applyNumberFormat="1" applyFont="1" applyFill="1" applyBorder="1" applyAlignment="1">
      <alignment horizontal="center" vertical="center"/>
    </xf>
    <xf numFmtId="0" fontId="18" fillId="0" borderId="73" xfId="1" applyFont="1" applyFill="1" applyBorder="1" applyAlignment="1">
      <alignment horizontal="center" vertical="center"/>
    </xf>
    <xf numFmtId="0" fontId="18" fillId="0" borderId="12" xfId="1" applyFont="1" applyFill="1" applyBorder="1" applyAlignment="1">
      <alignment horizontal="center" vertical="center"/>
    </xf>
    <xf numFmtId="0" fontId="18" fillId="0" borderId="75" xfId="1" applyFont="1" applyFill="1" applyBorder="1" applyAlignment="1">
      <alignment vertical="center"/>
    </xf>
    <xf numFmtId="0" fontId="18" fillId="0" borderId="70" xfId="1" applyFont="1" applyFill="1" applyBorder="1" applyAlignment="1">
      <alignment vertical="center"/>
    </xf>
    <xf numFmtId="0" fontId="18" fillId="0" borderId="12" xfId="1" applyFont="1" applyFill="1" applyBorder="1" applyAlignment="1">
      <alignment vertical="center"/>
    </xf>
    <xf numFmtId="0" fontId="18" fillId="0" borderId="12" xfId="1" applyFont="1" applyFill="1" applyBorder="1" applyAlignment="1">
      <alignment horizontal="left" vertical="center"/>
    </xf>
    <xf numFmtId="0" fontId="18" fillId="0" borderId="69" xfId="1" applyFont="1" applyFill="1" applyBorder="1" applyAlignment="1">
      <alignment horizontal="center" vertical="center" wrapText="1"/>
    </xf>
    <xf numFmtId="0" fontId="16" fillId="0" borderId="12" xfId="1" applyFont="1" applyFill="1" applyBorder="1" applyAlignment="1">
      <alignment vertical="center"/>
    </xf>
    <xf numFmtId="0" fontId="40" fillId="0" borderId="70" xfId="1" applyFont="1" applyFill="1" applyBorder="1" applyAlignment="1">
      <alignment vertical="center"/>
    </xf>
    <xf numFmtId="0" fontId="40" fillId="0" borderId="75" xfId="1" applyFont="1" applyFill="1" applyBorder="1" applyAlignment="1">
      <alignment vertical="center"/>
    </xf>
    <xf numFmtId="0" fontId="18" fillId="0" borderId="54" xfId="1" applyFont="1" applyFill="1" applyBorder="1" applyAlignment="1">
      <alignment horizontal="center" vertical="center" wrapText="1"/>
    </xf>
    <xf numFmtId="49" fontId="16" fillId="0" borderId="12" xfId="1" applyNumberFormat="1" applyFont="1" applyFill="1" applyBorder="1" applyAlignment="1">
      <alignment vertical="center"/>
    </xf>
    <xf numFmtId="0" fontId="16" fillId="0" borderId="68" xfId="1" applyFont="1" applyFill="1" applyBorder="1" applyAlignment="1">
      <alignment vertical="center"/>
    </xf>
    <xf numFmtId="0" fontId="16" fillId="0" borderId="70" xfId="1" applyFont="1" applyFill="1" applyBorder="1" applyAlignment="1">
      <alignment vertical="center"/>
    </xf>
    <xf numFmtId="0" fontId="16" fillId="18" borderId="74" xfId="0" applyFont="1" applyFill="1" applyBorder="1" applyAlignment="1">
      <alignment horizontal="left" vertical="center"/>
    </xf>
    <xf numFmtId="0" fontId="18" fillId="0" borderId="74" xfId="0" applyFont="1" applyFill="1" applyBorder="1" applyAlignment="1">
      <alignment horizontal="center" vertical="center"/>
    </xf>
    <xf numFmtId="49" fontId="8" fillId="16" borderId="5" xfId="1" applyNumberFormat="1" applyFont="1" applyFill="1" applyBorder="1" applyAlignment="1" applyProtection="1">
      <alignment horizontal="left" vertical="center"/>
      <protection locked="0"/>
    </xf>
    <xf numFmtId="0" fontId="8" fillId="11" borderId="4" xfId="1" applyNumberFormat="1" applyFont="1" applyFill="1" applyBorder="1" applyAlignment="1" applyProtection="1">
      <alignment horizontal="left" vertical="center"/>
      <protection locked="0"/>
    </xf>
    <xf numFmtId="0" fontId="8" fillId="11" borderId="3" xfId="1" applyNumberFormat="1" applyFont="1" applyFill="1" applyBorder="1" applyAlignment="1" applyProtection="1">
      <alignment horizontal="left" vertical="center"/>
      <protection locked="0"/>
    </xf>
    <xf numFmtId="0" fontId="8" fillId="11" borderId="42" xfId="1" applyNumberFormat="1" applyFont="1" applyFill="1" applyBorder="1" applyAlignment="1" applyProtection="1">
      <alignment horizontal="left" vertical="center"/>
      <protection locked="0"/>
    </xf>
    <xf numFmtId="49" fontId="8" fillId="16" borderId="5" xfId="1" applyNumberFormat="1" applyFont="1" applyFill="1" applyBorder="1" applyAlignment="1" applyProtection="1">
      <alignment horizontal="left" vertical="center"/>
      <protection locked="0"/>
    </xf>
    <xf numFmtId="49" fontId="9" fillId="16" borderId="4" xfId="1" applyNumberFormat="1" applyFont="1" applyFill="1" applyBorder="1" applyAlignment="1" applyProtection="1">
      <alignment horizontal="left" vertical="center" wrapText="1"/>
      <protection locked="0"/>
    </xf>
    <xf numFmtId="49" fontId="8" fillId="16" borderId="3" xfId="1" applyNumberFormat="1" applyFont="1" applyFill="1" applyBorder="1" applyAlignment="1" applyProtection="1">
      <alignment horizontal="left" vertical="center" wrapText="1"/>
      <protection locked="0"/>
    </xf>
    <xf numFmtId="49" fontId="8" fillId="16" borderId="42" xfId="1" applyNumberFormat="1" applyFont="1" applyFill="1" applyBorder="1" applyAlignment="1" applyProtection="1">
      <alignment horizontal="left" vertical="center" wrapText="1"/>
      <protection locked="0"/>
    </xf>
    <xf numFmtId="0" fontId="8" fillId="11" borderId="5" xfId="1" applyNumberFormat="1" applyFont="1" applyFill="1" applyBorder="1" applyAlignment="1" applyProtection="1">
      <alignment horizontal="left" vertical="center"/>
      <protection locked="0"/>
    </xf>
    <xf numFmtId="0" fontId="5" fillId="16" borderId="22" xfId="1" applyFont="1" applyFill="1" applyBorder="1" applyAlignment="1">
      <alignment horizontal="left" vertical="center"/>
    </xf>
    <xf numFmtId="0" fontId="5" fillId="16" borderId="23" xfId="1" applyFont="1" applyFill="1" applyBorder="1" applyAlignment="1">
      <alignment horizontal="left" vertical="center"/>
    </xf>
    <xf numFmtId="0" fontId="8" fillId="22" borderId="7" xfId="1" applyFont="1" applyFill="1" applyBorder="1" applyAlignment="1" applyProtection="1">
      <alignment horizontal="center" vertical="center"/>
      <protection locked="0"/>
    </xf>
    <xf numFmtId="0" fontId="8" fillId="22" borderId="19" xfId="1" applyFont="1" applyFill="1" applyBorder="1" applyAlignment="1" applyProtection="1">
      <alignment horizontal="center" vertical="center" wrapText="1"/>
      <protection locked="0"/>
    </xf>
    <xf numFmtId="0" fontId="8" fillId="22" borderId="19" xfId="1" applyFont="1" applyFill="1" applyBorder="1" applyAlignment="1" applyProtection="1">
      <alignment horizontal="center" vertical="center"/>
      <protection locked="0"/>
    </xf>
    <xf numFmtId="0" fontId="8" fillId="22" borderId="41" xfId="1" applyFont="1" applyFill="1" applyBorder="1" applyAlignment="1" applyProtection="1">
      <alignment horizontal="center" vertical="center" wrapText="1"/>
      <protection locked="0"/>
    </xf>
    <xf numFmtId="0" fontId="8" fillId="22" borderId="7" xfId="1" applyFont="1" applyFill="1" applyBorder="1" applyAlignment="1" applyProtection="1">
      <alignment horizontal="center" vertical="center" wrapText="1"/>
      <protection locked="0"/>
    </xf>
    <xf numFmtId="0" fontId="8" fillId="22" borderId="8" xfId="1" applyFont="1" applyFill="1" applyBorder="1" applyAlignment="1" applyProtection="1">
      <alignment horizontal="center" vertical="center"/>
      <protection locked="0"/>
    </xf>
    <xf numFmtId="0" fontId="8" fillId="11" borderId="40" xfId="1" applyNumberFormat="1" applyFont="1" applyFill="1" applyBorder="1" applyAlignment="1" applyProtection="1">
      <alignment horizontal="left" vertical="center"/>
      <protection locked="0"/>
    </xf>
    <xf numFmtId="0" fontId="8" fillId="22" borderId="7" xfId="1" applyFont="1" applyFill="1" applyBorder="1" applyAlignment="1" applyProtection="1">
      <alignment horizontal="center" vertical="center" wrapText="1" shrinkToFit="1"/>
      <protection locked="0"/>
    </xf>
    <xf numFmtId="0" fontId="8" fillId="22" borderId="7" xfId="1" applyFont="1" applyFill="1" applyBorder="1" applyAlignment="1" applyProtection="1">
      <alignment horizontal="center" vertical="center" shrinkToFit="1"/>
      <protection locked="0"/>
    </xf>
    <xf numFmtId="0" fontId="9" fillId="22" borderId="19" xfId="1" applyFont="1" applyFill="1" applyBorder="1" applyAlignment="1" applyProtection="1">
      <alignment horizontal="center" vertical="center"/>
      <protection locked="0"/>
    </xf>
    <xf numFmtId="14" fontId="6" fillId="0" borderId="13" xfId="1" applyNumberFormat="1" applyFont="1" applyBorder="1" applyAlignment="1">
      <alignment horizontal="center" vertical="center"/>
    </xf>
    <xf numFmtId="0" fontId="6" fillId="0" borderId="14" xfId="1" applyFont="1" applyBorder="1" applyAlignment="1">
      <alignment horizontal="center" vertical="center"/>
    </xf>
    <xf numFmtId="0" fontId="6" fillId="0" borderId="15" xfId="1" applyFont="1" applyBorder="1" applyAlignment="1">
      <alignment horizontal="center" vertical="center"/>
    </xf>
    <xf numFmtId="0" fontId="16" fillId="22" borderId="32" xfId="1" applyFont="1" applyFill="1" applyBorder="1" applyAlignment="1">
      <alignment horizontal="center" vertical="center"/>
    </xf>
    <xf numFmtId="0" fontId="16" fillId="22" borderId="28" xfId="1" applyFont="1" applyFill="1" applyBorder="1" applyAlignment="1">
      <alignment horizontal="center" vertical="center"/>
    </xf>
    <xf numFmtId="0" fontId="16" fillId="22" borderId="31" xfId="1" applyFont="1" applyFill="1" applyBorder="1" applyAlignment="1">
      <alignment horizontal="center" vertical="center"/>
    </xf>
    <xf numFmtId="0" fontId="16" fillId="16" borderId="30" xfId="1" applyFont="1" applyFill="1" applyBorder="1" applyAlignment="1">
      <alignment horizontal="center" vertical="center"/>
    </xf>
    <xf numFmtId="0" fontId="17" fillId="16" borderId="28" xfId="1" applyFont="1" applyFill="1" applyBorder="1" applyAlignment="1">
      <alignment horizontal="center" vertical="center"/>
    </xf>
    <xf numFmtId="0" fontId="17" fillId="16" borderId="31" xfId="1" applyFont="1" applyFill="1" applyBorder="1" applyAlignment="1">
      <alignment horizontal="center" vertical="center"/>
    </xf>
    <xf numFmtId="0" fontId="17" fillId="22" borderId="28" xfId="1" applyFont="1" applyFill="1" applyBorder="1" applyAlignment="1">
      <alignment horizontal="center" vertical="center"/>
    </xf>
    <xf numFmtId="0" fontId="17" fillId="22" borderId="29" xfId="1" applyFont="1" applyFill="1" applyBorder="1" applyAlignment="1">
      <alignment horizontal="center" vertical="center"/>
    </xf>
    <xf numFmtId="0" fontId="16" fillId="16" borderId="30" xfId="1" applyFont="1" applyFill="1" applyBorder="1" applyAlignment="1" applyProtection="1">
      <alignment horizontal="center" vertical="center" shrinkToFit="1"/>
      <protection locked="0"/>
    </xf>
    <xf numFmtId="0" fontId="16" fillId="16" borderId="28" xfId="1" applyFont="1" applyFill="1" applyBorder="1" applyAlignment="1" applyProtection="1">
      <alignment horizontal="center" vertical="center" shrinkToFit="1"/>
      <protection locked="0"/>
    </xf>
    <xf numFmtId="0" fontId="16" fillId="16" borderId="29" xfId="1" applyFont="1" applyFill="1" applyBorder="1" applyAlignment="1" applyProtection="1">
      <alignment horizontal="center" vertical="center" shrinkToFit="1"/>
      <protection locked="0"/>
    </xf>
    <xf numFmtId="0" fontId="5" fillId="22" borderId="21" xfId="1" applyFont="1" applyFill="1" applyBorder="1" applyAlignment="1">
      <alignment horizontal="center" vertical="center"/>
    </xf>
    <xf numFmtId="0" fontId="5" fillId="22" borderId="22" xfId="1" applyFont="1" applyFill="1" applyBorder="1" applyAlignment="1">
      <alignment horizontal="center" vertical="center"/>
    </xf>
    <xf numFmtId="0" fontId="5" fillId="22" borderId="23" xfId="1" applyFont="1" applyFill="1" applyBorder="1" applyAlignment="1">
      <alignment horizontal="center" vertical="center"/>
    </xf>
    <xf numFmtId="0" fontId="8" fillId="22" borderId="20" xfId="1" applyFont="1" applyFill="1" applyBorder="1" applyAlignment="1" applyProtection="1">
      <alignment horizontal="center" vertical="center"/>
      <protection locked="0"/>
    </xf>
    <xf numFmtId="0" fontId="11" fillId="3" borderId="9" xfId="1" applyFont="1" applyFill="1" applyBorder="1" applyAlignment="1">
      <alignment horizontal="left" vertical="center"/>
    </xf>
    <xf numFmtId="0" fontId="11" fillId="3" borderId="6" xfId="1" applyFont="1" applyFill="1" applyBorder="1" applyAlignment="1">
      <alignment horizontal="left" vertical="center"/>
    </xf>
    <xf numFmtId="0" fontId="11" fillId="3" borderId="11" xfId="1" applyFont="1" applyFill="1" applyBorder="1" applyAlignment="1">
      <alignment horizontal="left" vertical="center"/>
    </xf>
    <xf numFmtId="0" fontId="11" fillId="3" borderId="7" xfId="1" applyFont="1" applyFill="1" applyBorder="1" applyAlignment="1">
      <alignment horizontal="left" vertical="center"/>
    </xf>
    <xf numFmtId="0" fontId="11" fillId="3" borderId="4" xfId="1" applyFont="1" applyFill="1" applyBorder="1" applyAlignment="1">
      <alignment horizontal="left" vertical="center"/>
    </xf>
    <xf numFmtId="0" fontId="11" fillId="3" borderId="42" xfId="1" applyFont="1" applyFill="1" applyBorder="1" applyAlignment="1">
      <alignment horizontal="left" vertical="center"/>
    </xf>
    <xf numFmtId="0" fontId="11" fillId="3" borderId="1" xfId="1" applyFont="1" applyFill="1" applyBorder="1" applyAlignment="1">
      <alignment horizontal="left" vertical="center"/>
    </xf>
    <xf numFmtId="0" fontId="11" fillId="3" borderId="43" xfId="1" applyFont="1" applyFill="1" applyBorder="1" applyAlignment="1">
      <alignment horizontal="left" vertical="center"/>
    </xf>
    <xf numFmtId="0" fontId="11" fillId="3" borderId="6" xfId="1" applyFont="1" applyFill="1" applyBorder="1" applyAlignment="1">
      <alignment horizontal="center" vertical="center"/>
    </xf>
    <xf numFmtId="0" fontId="11" fillId="3" borderId="39" xfId="1" applyFont="1" applyFill="1" applyBorder="1" applyAlignment="1">
      <alignment horizontal="center" vertical="center"/>
    </xf>
    <xf numFmtId="0" fontId="11" fillId="3" borderId="7" xfId="1" applyFont="1" applyFill="1" applyBorder="1" applyAlignment="1">
      <alignment horizontal="center" vertical="center"/>
    </xf>
    <xf numFmtId="0" fontId="11" fillId="3" borderId="8" xfId="1" applyFont="1" applyFill="1" applyBorder="1" applyAlignment="1">
      <alignment horizontal="center" vertical="center"/>
    </xf>
    <xf numFmtId="0" fontId="11" fillId="3" borderId="4" xfId="1" applyFont="1" applyFill="1" applyBorder="1" applyAlignment="1">
      <alignment horizontal="center" vertical="center"/>
    </xf>
    <xf numFmtId="0" fontId="11" fillId="3" borderId="3" xfId="1" applyFont="1" applyFill="1" applyBorder="1" applyAlignment="1">
      <alignment horizontal="center" vertical="center"/>
    </xf>
    <xf numFmtId="0" fontId="11" fillId="3" borderId="42" xfId="1" applyFont="1" applyFill="1" applyBorder="1" applyAlignment="1">
      <alignment horizontal="center" vertical="center"/>
    </xf>
    <xf numFmtId="0" fontId="11" fillId="3" borderId="1" xfId="1" applyFont="1" applyFill="1" applyBorder="1" applyAlignment="1">
      <alignment horizontal="center" vertical="center"/>
    </xf>
    <xf numFmtId="0" fontId="11" fillId="3" borderId="2" xfId="1" applyFont="1" applyFill="1" applyBorder="1" applyAlignment="1">
      <alignment horizontal="center" vertical="center"/>
    </xf>
    <xf numFmtId="0" fontId="11" fillId="3" borderId="43" xfId="1" applyFont="1" applyFill="1" applyBorder="1" applyAlignment="1">
      <alignment horizontal="center" vertical="center"/>
    </xf>
    <xf numFmtId="0" fontId="2" fillId="0" borderId="0" xfId="1" applyFill="1" applyAlignment="1">
      <alignment horizontal="left" vertical="center" wrapText="1"/>
    </xf>
    <xf numFmtId="0" fontId="2" fillId="11" borderId="0" xfId="1" applyFill="1" applyAlignment="1">
      <alignment horizontal="center" vertical="center"/>
    </xf>
    <xf numFmtId="0" fontId="2" fillId="0" borderId="0" xfId="1" applyFill="1" applyAlignment="1">
      <alignment horizontal="left" vertical="center"/>
    </xf>
    <xf numFmtId="0" fontId="4" fillId="0" borderId="0" xfId="1" applyFont="1" applyBorder="1" applyAlignment="1">
      <alignment horizontal="center" vertical="center"/>
    </xf>
    <xf numFmtId="0" fontId="16" fillId="4" borderId="27" xfId="1" applyFont="1" applyFill="1" applyBorder="1" applyAlignment="1">
      <alignment horizontal="center" vertical="center"/>
    </xf>
    <xf numFmtId="0" fontId="16" fillId="4" borderId="28" xfId="1" applyFont="1" applyFill="1" applyBorder="1" applyAlignment="1">
      <alignment horizontal="center" vertical="center"/>
    </xf>
    <xf numFmtId="0" fontId="16" fillId="4" borderId="29" xfId="1" applyFont="1" applyFill="1" applyBorder="1" applyAlignment="1">
      <alignment horizontal="center" vertical="center"/>
    </xf>
    <xf numFmtId="49" fontId="16" fillId="16" borderId="29" xfId="1" applyNumberFormat="1" applyFont="1" applyFill="1" applyBorder="1" applyAlignment="1" applyProtection="1">
      <alignment horizontal="center" vertical="center"/>
      <protection locked="0"/>
    </xf>
    <xf numFmtId="49" fontId="18" fillId="16" borderId="16" xfId="1" applyNumberFormat="1" applyFont="1" applyFill="1" applyBorder="1" applyAlignment="1" applyProtection="1">
      <alignment horizontal="center" vertical="center"/>
      <protection locked="0"/>
    </xf>
    <xf numFmtId="49" fontId="18" fillId="16" borderId="17" xfId="1" applyNumberFormat="1" applyFont="1" applyFill="1" applyBorder="1" applyAlignment="1" applyProtection="1">
      <alignment horizontal="center" vertical="center"/>
      <protection locked="0"/>
    </xf>
    <xf numFmtId="0" fontId="5" fillId="22" borderId="24" xfId="1" applyFont="1" applyFill="1" applyBorder="1" applyAlignment="1">
      <alignment horizontal="center" vertical="center"/>
    </xf>
    <xf numFmtId="0" fontId="5" fillId="22" borderId="25" xfId="1" applyFont="1" applyFill="1" applyBorder="1" applyAlignment="1">
      <alignment horizontal="center" vertical="center"/>
    </xf>
    <xf numFmtId="0" fontId="5" fillId="22" borderId="26" xfId="1" applyFont="1" applyFill="1" applyBorder="1" applyAlignment="1">
      <alignment horizontal="center" vertical="center"/>
    </xf>
    <xf numFmtId="176" fontId="20" fillId="8" borderId="37" xfId="0" applyNumberFormat="1" applyFont="1" applyFill="1" applyBorder="1" applyAlignment="1">
      <alignment horizontal="center" vertical="center"/>
    </xf>
    <xf numFmtId="0" fontId="18" fillId="0" borderId="54" xfId="1" applyFont="1" applyFill="1" applyBorder="1" applyAlignment="1">
      <alignment horizontal="center" vertical="center" wrapText="1"/>
    </xf>
    <xf numFmtId="0" fontId="18" fillId="0" borderId="86" xfId="1" applyFont="1" applyFill="1" applyBorder="1" applyAlignment="1">
      <alignment horizontal="center" vertical="center" wrapText="1"/>
    </xf>
    <xf numFmtId="0" fontId="18" fillId="0" borderId="76" xfId="1" applyFont="1" applyFill="1" applyBorder="1" applyAlignment="1">
      <alignment horizontal="center" vertical="center" wrapText="1"/>
    </xf>
    <xf numFmtId="0" fontId="18" fillId="0" borderId="85" xfId="1" applyFont="1" applyFill="1" applyBorder="1" applyAlignment="1">
      <alignment horizontal="center" vertical="center" wrapText="1"/>
    </xf>
    <xf numFmtId="0" fontId="18" fillId="0" borderId="86" xfId="1" applyFont="1" applyFill="1" applyBorder="1" applyAlignment="1">
      <alignment vertical="center" wrapText="1"/>
    </xf>
    <xf numFmtId="0" fontId="18" fillId="0" borderId="54" xfId="1" applyFont="1" applyFill="1" applyBorder="1" applyAlignment="1">
      <alignment horizontal="center" vertical="center"/>
    </xf>
    <xf numFmtId="0" fontId="18" fillId="0" borderId="86" xfId="1" applyFont="1" applyFill="1" applyBorder="1" applyAlignment="1">
      <alignment horizontal="center" vertical="center"/>
    </xf>
    <xf numFmtId="0" fontId="18" fillId="0" borderId="76" xfId="1" applyFont="1" applyFill="1" applyBorder="1" applyAlignment="1">
      <alignment horizontal="center" vertical="center"/>
    </xf>
    <xf numFmtId="0" fontId="32" fillId="17" borderId="56" xfId="0" applyNumberFormat="1" applyFont="1" applyFill="1" applyBorder="1" applyAlignment="1">
      <alignment horizontal="center" vertical="center" wrapText="1"/>
    </xf>
    <xf numFmtId="0" fontId="32" fillId="17" borderId="57" xfId="0" applyNumberFormat="1" applyFont="1" applyFill="1" applyBorder="1" applyAlignment="1">
      <alignment horizontal="center" vertical="center" wrapText="1"/>
    </xf>
    <xf numFmtId="0" fontId="32" fillId="17" borderId="53" xfId="0" applyNumberFormat="1" applyFont="1" applyFill="1" applyBorder="1" applyAlignment="1">
      <alignment horizontal="center" vertical="center" wrapText="1"/>
    </xf>
    <xf numFmtId="0" fontId="32" fillId="17" borderId="58" xfId="0" applyNumberFormat="1" applyFont="1" applyFill="1" applyBorder="1" applyAlignment="1">
      <alignment horizontal="center" vertical="center" wrapText="1"/>
    </xf>
    <xf numFmtId="0" fontId="32" fillId="17" borderId="59" xfId="0" applyNumberFormat="1" applyFont="1" applyFill="1" applyBorder="1" applyAlignment="1">
      <alignment horizontal="center" vertical="center" wrapText="1"/>
    </xf>
    <xf numFmtId="0" fontId="32" fillId="17" borderId="60" xfId="0" applyNumberFormat="1" applyFont="1" applyFill="1" applyBorder="1" applyAlignment="1">
      <alignment horizontal="center" vertical="center" wrapText="1"/>
    </xf>
    <xf numFmtId="0" fontId="32" fillId="17" borderId="65" xfId="0" applyNumberFormat="1" applyFont="1" applyFill="1" applyBorder="1" applyAlignment="1">
      <alignment horizontal="center" vertical="center" wrapText="1"/>
    </xf>
    <xf numFmtId="49" fontId="32" fillId="0" borderId="66" xfId="0" applyNumberFormat="1" applyFont="1" applyFill="1" applyBorder="1" applyAlignment="1">
      <alignment horizontal="center" vertical="center" wrapText="1"/>
    </xf>
    <xf numFmtId="49" fontId="32" fillId="0" borderId="69" xfId="0" applyNumberFormat="1" applyFont="1" applyFill="1" applyBorder="1" applyAlignment="1">
      <alignment horizontal="center" vertical="center" wrapText="1"/>
    </xf>
    <xf numFmtId="49" fontId="32" fillId="0" borderId="71" xfId="0" applyNumberFormat="1" applyFont="1" applyFill="1" applyBorder="1" applyAlignment="1">
      <alignment horizontal="center" vertical="center" wrapText="1"/>
    </xf>
    <xf numFmtId="49" fontId="32" fillId="0" borderId="67" xfId="0" applyNumberFormat="1" applyFont="1" applyFill="1" applyBorder="1" applyAlignment="1">
      <alignment horizontal="center" vertical="center" wrapText="1"/>
    </xf>
    <xf numFmtId="49" fontId="32" fillId="0" borderId="12" xfId="0" applyNumberFormat="1" applyFont="1" applyFill="1" applyBorder="1" applyAlignment="1">
      <alignment horizontal="center" vertical="center" wrapText="1"/>
    </xf>
    <xf numFmtId="49" fontId="32" fillId="0" borderId="64" xfId="0" applyNumberFormat="1" applyFont="1" applyFill="1" applyBorder="1" applyAlignment="1">
      <alignment horizontal="center" vertical="center" wrapText="1"/>
    </xf>
    <xf numFmtId="0" fontId="32" fillId="17" borderId="54" xfId="0" applyFont="1" applyFill="1" applyBorder="1" applyAlignment="1">
      <alignment horizontal="center" vertical="center" wrapText="1"/>
    </xf>
    <xf numFmtId="0" fontId="32" fillId="17" borderId="61" xfId="0" applyFont="1" applyFill="1" applyBorder="1" applyAlignment="1">
      <alignment horizontal="center" vertical="center" wrapText="1"/>
    </xf>
    <xf numFmtId="49" fontId="32" fillId="17" borderId="55" xfId="0" applyNumberFormat="1" applyFont="1" applyFill="1" applyBorder="1" applyAlignment="1">
      <alignment horizontal="center" vertical="center" wrapText="1"/>
    </xf>
    <xf numFmtId="49" fontId="32" fillId="17" borderId="62" xfId="0" applyNumberFormat="1" applyFont="1" applyFill="1" applyBorder="1" applyAlignment="1">
      <alignment horizontal="center" vertical="center" wrapText="1"/>
    </xf>
    <xf numFmtId="0" fontId="32" fillId="17" borderId="55" xfId="0" applyNumberFormat="1" applyFont="1" applyFill="1" applyBorder="1" applyAlignment="1">
      <alignment horizontal="center" vertical="center" wrapText="1"/>
    </xf>
    <xf numFmtId="0" fontId="32" fillId="17" borderId="62" xfId="0" applyNumberFormat="1" applyFont="1" applyFill="1" applyBorder="1" applyAlignment="1">
      <alignment horizontal="center" vertical="center" wrapText="1"/>
    </xf>
    <xf numFmtId="49" fontId="32" fillId="0" borderId="67" xfId="0" applyNumberFormat="1" applyFont="1" applyFill="1" applyBorder="1" applyAlignment="1">
      <alignment horizontal="center" vertical="center"/>
    </xf>
    <xf numFmtId="49" fontId="32" fillId="0" borderId="12" xfId="0" applyNumberFormat="1" applyFont="1" applyFill="1" applyBorder="1" applyAlignment="1">
      <alignment horizontal="center" vertical="center"/>
    </xf>
    <xf numFmtId="0" fontId="18" fillId="0" borderId="68" xfId="0" applyNumberFormat="1" applyFont="1" applyFill="1" applyBorder="1" applyAlignment="1">
      <alignment horizontal="left" vertical="center" wrapText="1" shrinkToFit="1"/>
    </xf>
    <xf numFmtId="0" fontId="18" fillId="0" borderId="70" xfId="0" applyNumberFormat="1" applyFont="1" applyFill="1" applyBorder="1" applyAlignment="1">
      <alignment horizontal="left" vertical="center" wrapText="1" shrinkToFit="1"/>
    </xf>
    <xf numFmtId="49" fontId="32" fillId="0" borderId="66" xfId="0" applyNumberFormat="1" applyFont="1" applyFill="1" applyBorder="1" applyAlignment="1">
      <alignment horizontal="center" vertical="center" wrapText="1" shrinkToFit="1"/>
    </xf>
    <xf numFmtId="49" fontId="32" fillId="0" borderId="69" xfId="0" applyNumberFormat="1" applyFont="1" applyFill="1" applyBorder="1" applyAlignment="1">
      <alignment horizontal="center" vertical="center" wrapText="1" shrinkToFit="1"/>
    </xf>
    <xf numFmtId="49" fontId="32" fillId="0" borderId="71" xfId="0" applyNumberFormat="1" applyFont="1" applyFill="1" applyBorder="1" applyAlignment="1">
      <alignment horizontal="center" vertical="center" wrapText="1" shrinkToFit="1"/>
    </xf>
    <xf numFmtId="49" fontId="32" fillId="0" borderId="67" xfId="0" applyNumberFormat="1" applyFont="1" applyFill="1" applyBorder="1" applyAlignment="1">
      <alignment horizontal="center" vertical="center" wrapText="1" shrinkToFit="1"/>
    </xf>
    <xf numFmtId="49" fontId="32" fillId="0" borderId="12" xfId="0" applyNumberFormat="1" applyFont="1" applyFill="1" applyBorder="1" applyAlignment="1">
      <alignment horizontal="center" vertical="center" wrapText="1" shrinkToFit="1"/>
    </xf>
    <xf numFmtId="49" fontId="32" fillId="0" borderId="64" xfId="0" applyNumberFormat="1" applyFont="1" applyFill="1" applyBorder="1" applyAlignment="1">
      <alignment horizontal="center" vertical="center" wrapText="1" shrinkToFit="1"/>
    </xf>
    <xf numFmtId="49" fontId="32" fillId="0" borderId="76" xfId="0" applyNumberFormat="1" applyFont="1" applyFill="1" applyBorder="1" applyAlignment="1">
      <alignment horizontal="center" vertical="center" wrapText="1" shrinkToFit="1"/>
    </xf>
    <xf numFmtId="49" fontId="32" fillId="0" borderId="73" xfId="0" applyNumberFormat="1" applyFont="1" applyFill="1" applyBorder="1" applyAlignment="1">
      <alignment horizontal="center" vertical="center" wrapText="1" shrinkToFit="1"/>
    </xf>
    <xf numFmtId="49" fontId="32" fillId="0" borderId="74" xfId="0" applyNumberFormat="1" applyFont="1" applyFill="1" applyBorder="1" applyAlignment="1">
      <alignment horizontal="center" vertical="center" wrapText="1" shrinkToFit="1"/>
    </xf>
    <xf numFmtId="49" fontId="32" fillId="0" borderId="62" xfId="0" applyNumberFormat="1" applyFont="1" applyFill="1" applyBorder="1" applyAlignment="1">
      <alignment horizontal="center" vertical="center" wrapText="1" shrinkToFit="1"/>
    </xf>
    <xf numFmtId="49" fontId="18" fillId="0" borderId="60" xfId="0" applyNumberFormat="1" applyFont="1" applyFill="1" applyBorder="1" applyAlignment="1">
      <alignment horizontal="left" vertical="center" wrapText="1" shrinkToFit="1"/>
    </xf>
    <xf numFmtId="49" fontId="18" fillId="0" borderId="77" xfId="0" applyNumberFormat="1" applyFont="1" applyFill="1" applyBorder="1" applyAlignment="1">
      <alignment horizontal="left" vertical="center" wrapText="1" shrinkToFit="1"/>
    </xf>
    <xf numFmtId="49" fontId="18" fillId="0" borderId="75" xfId="0" applyNumberFormat="1" applyFont="1" applyFill="1" applyBorder="1" applyAlignment="1">
      <alignment horizontal="left" vertical="center" wrapText="1" shrinkToFit="1"/>
    </xf>
    <xf numFmtId="0" fontId="0" fillId="0" borderId="0" xfId="0" applyAlignment="1">
      <alignment horizontal="left" vertical="center" wrapText="1"/>
    </xf>
    <xf numFmtId="49" fontId="15" fillId="0" borderId="0" xfId="0" applyNumberFormat="1" applyFont="1" applyAlignment="1">
      <alignment vertical="center" wrapText="1"/>
    </xf>
    <xf numFmtId="49" fontId="31" fillId="11" borderId="12" xfId="0" applyNumberFormat="1" applyFont="1" applyFill="1" applyBorder="1" applyAlignment="1">
      <alignment horizontal="center" vertical="center"/>
    </xf>
  </cellXfs>
  <cellStyles count="6">
    <cellStyle name="Normal" xfId="0" builtinId="0"/>
    <cellStyle name="Normal 2" xfId="2"/>
    <cellStyle name="Normal_TE-B(ZS)E_BOM configuration component &amp; code" xfId="5"/>
    <cellStyle name="常规 2" xfId="1"/>
    <cellStyle name="常规 2 2" xfId="3"/>
    <cellStyle name="常规 3" xfId="4"/>
  </cellStyles>
  <dxfs count="7">
    <dxf>
      <fill>
        <patternFill>
          <bgColor theme="0" tint="-0.34998626667073579"/>
        </patternFill>
      </fill>
    </dxf>
    <dxf>
      <fill>
        <patternFill>
          <bgColor theme="0" tint="-0.34998626667073579"/>
        </patternFill>
      </fill>
    </dxf>
    <dxf>
      <fill>
        <patternFill>
          <bgColor indexed="43"/>
        </patternFill>
      </fill>
    </dxf>
    <dxf>
      <fill>
        <patternFill>
          <bgColor indexed="43"/>
        </patternFill>
      </fill>
    </dxf>
    <dxf>
      <fill>
        <patternFill>
          <bgColor indexed="43"/>
        </patternFill>
      </fill>
    </dxf>
    <dxf>
      <fill>
        <patternFill>
          <bgColor indexed="47"/>
        </patternFill>
      </fill>
      <border>
        <left style="hair">
          <color indexed="64"/>
        </left>
        <right style="hair">
          <color indexed="64"/>
        </right>
        <top style="hair">
          <color indexed="64"/>
        </top>
        <bottom style="hair">
          <color indexed="64"/>
        </bottom>
      </border>
    </dxf>
    <dxf>
      <fill>
        <patternFill>
          <bgColor indexed="43"/>
        </patternFill>
      </fill>
      <border>
        <left style="hair">
          <color indexed="64"/>
        </left>
        <right style="hair">
          <color indexed="64"/>
        </right>
        <top style="hair">
          <color indexed="64"/>
        </top>
        <bottom style="hair">
          <color indexed="64"/>
        </bottom>
      </border>
    </dxf>
  </dxfs>
  <tableStyles count="0" defaultTableStyle="TableStyleMedium9" defaultPivotStyle="PivotStyleLight16"/>
  <colors>
    <mruColors>
      <color rgb="FFFFFF99"/>
      <color rgb="FF66FF99"/>
      <color rgb="FF99FF99"/>
      <color rgb="FFCCFFCC"/>
      <color rgb="FFCCFFFF"/>
      <color rgb="FF99FFCC"/>
      <color rgb="FF66FFFF"/>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0</xdr:colOff>
      <xdr:row>0</xdr:row>
      <xdr:rowOff>19049</xdr:rowOff>
    </xdr:from>
    <xdr:to>
      <xdr:col>17</xdr:col>
      <xdr:colOff>38100</xdr:colOff>
      <xdr:row>4</xdr:row>
      <xdr:rowOff>38100</xdr:rowOff>
    </xdr:to>
    <xdr:sp macro="" textlink="">
      <xdr:nvSpPr>
        <xdr:cNvPr id="3" name="Text Box 128"/>
        <xdr:cNvSpPr txBox="1">
          <a:spLocks noChangeArrowheads="1"/>
        </xdr:cNvSpPr>
      </xdr:nvSpPr>
      <xdr:spPr bwMode="auto">
        <a:xfrm>
          <a:off x="6884894" y="19049"/>
          <a:ext cx="7665272" cy="761329"/>
        </a:xfrm>
        <a:prstGeom prst="rect">
          <a:avLst/>
        </a:prstGeom>
        <a:noFill/>
        <a:ln w="9525">
          <a:noFill/>
          <a:miter lim="800000"/>
          <a:headEnd/>
          <a:tailEnd/>
        </a:ln>
      </xdr:spPr>
      <xdr:txBody>
        <a:bodyPr vertOverflow="clip" wrap="square" lIns="0" tIns="259200" rIns="0" bIns="0" anchor="t" anchorCtr="0" upright="1"/>
        <a:lstStyle/>
        <a:p>
          <a:pPr algn="l" rtl="0">
            <a:defRPr sz="1000"/>
          </a:pPr>
          <a:r>
            <a:rPr lang="en-US" altLang="zh-CN" sz="1200" b="0" i="0" u="none" strike="noStrike" baseline="0">
              <a:solidFill>
                <a:srgbClr val="000000"/>
              </a:solidFill>
              <a:latin typeface="TKTypeBold" pitchFamily="34" charset="0"/>
            </a:rPr>
            <a:t>  </a:t>
          </a:r>
          <a:endParaRPr lang="en-US" altLang="zh-CN" sz="1050" b="0" i="0" u="none" strike="noStrike" baseline="0">
            <a:solidFill>
              <a:srgbClr val="000000"/>
            </a:solidFill>
            <a:latin typeface="Times New Roman"/>
            <a:cs typeface="Times New Roman"/>
          </a:endParaRPr>
        </a:p>
        <a:p>
          <a:pPr algn="l" rtl="0">
            <a:defRPr sz="1000"/>
          </a:pPr>
          <a:endParaRPr lang="en-US" altLang="zh-CN" sz="1050" b="0" i="0" u="none" strike="noStrike" baseline="0">
            <a:solidFill>
              <a:srgbClr val="000000"/>
            </a:solidFill>
            <a:latin typeface="Times New Roman"/>
            <a:cs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2</xdr:col>
          <xdr:colOff>0</xdr:colOff>
          <xdr:row>17</xdr:row>
          <xdr:rowOff>0</xdr:rowOff>
        </xdr:to>
        <xdr:sp macro="" textlink="">
          <xdr:nvSpPr>
            <xdr:cNvPr id="1055" name="TextBox1"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1</xdr:col>
          <xdr:colOff>415783</xdr:colOff>
          <xdr:row>19</xdr:row>
          <xdr:rowOff>17751</xdr:rowOff>
        </xdr:to>
        <xdr:sp macro="" textlink="">
          <xdr:nvSpPr>
            <xdr:cNvPr id="1056" name="ListBox1"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530352</xdr:colOff>
          <xdr:row>6</xdr:row>
          <xdr:rowOff>246888</xdr:rowOff>
        </xdr:from>
        <xdr:to>
          <xdr:col>27</xdr:col>
          <xdr:colOff>402336</xdr:colOff>
          <xdr:row>8</xdr:row>
          <xdr:rowOff>27432</xdr:rowOff>
        </xdr:to>
        <xdr:sp macro="" textlink="">
          <xdr:nvSpPr>
            <xdr:cNvPr id="1058" name="CommandButton1"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25</xdr:col>
      <xdr:colOff>236668</xdr:colOff>
      <xdr:row>0</xdr:row>
      <xdr:rowOff>21515</xdr:rowOff>
    </xdr:from>
    <xdr:to>
      <xdr:col>27</xdr:col>
      <xdr:colOff>225911</xdr:colOff>
      <xdr:row>3</xdr:row>
      <xdr:rowOff>64546</xdr:rowOff>
    </xdr:to>
    <xdr:pic>
      <xdr:nvPicPr>
        <xdr:cNvPr id="7" name="Picture 4"/>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69666" y="21515"/>
          <a:ext cx="1043492" cy="677732"/>
        </a:xfrm>
        <a:prstGeom prst="rect">
          <a:avLst/>
        </a:prstGeom>
      </xdr:spPr>
    </xdr:pic>
    <xdr:clientData/>
  </xdr:twoCellAnchor>
  <xdr:twoCellAnchor editAs="oneCell">
    <xdr:from>
      <xdr:col>6</xdr:col>
      <xdr:colOff>86062</xdr:colOff>
      <xdr:row>1</xdr:row>
      <xdr:rowOff>53789</xdr:rowOff>
    </xdr:from>
    <xdr:to>
      <xdr:col>8</xdr:col>
      <xdr:colOff>1237130</xdr:colOff>
      <xdr:row>2</xdr:row>
      <xdr:rowOff>75303</xdr:rowOff>
    </xdr:to>
    <xdr:pic>
      <xdr:nvPicPr>
        <xdr:cNvPr id="8"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970956" y="118335"/>
          <a:ext cx="2011680" cy="48409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82700024/Desktop/TKEAP%20Part%20Dictionar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t Name Dictionary"/>
      <sheetName val="Naming Convention"/>
      <sheetName val="Name Change Record"/>
      <sheetName val="Explain for Category and NPA "/>
      <sheetName val="Sheet1"/>
    </sheetNames>
    <sheetDataSet>
      <sheetData sheetId="0" refreshError="1">
        <row r="1">
          <cell r="B1">
            <v>0</v>
          </cell>
          <cell r="C1">
            <v>0</v>
          </cell>
          <cell r="V1">
            <v>0</v>
          </cell>
        </row>
        <row r="4">
          <cell r="B4" t="str">
            <v xml:space="preserve">Part Name (CN)
零部件中文名称 </v>
          </cell>
          <cell r="C4" t="str">
            <v>Part Name (EN)
零部件英文名称</v>
          </cell>
          <cell r="V4" t="str">
            <v>Chinese Description
中文描述</v>
          </cell>
        </row>
        <row r="5">
          <cell r="B5" t="str">
            <v>曳引机</v>
          </cell>
          <cell r="C5" t="str">
            <v>T/M</v>
          </cell>
          <cell r="V5" t="str">
            <v>曳引机 Machine Type Code-T. Pulley Spec.-Power</v>
          </cell>
        </row>
        <row r="6">
          <cell r="B6" t="str">
            <v>曳引机</v>
          </cell>
          <cell r="C6" t="str">
            <v>T/M</v>
          </cell>
          <cell r="V6" t="str">
            <v>曳引机 TW160 D720/8×d13/U45°105° 16kW</v>
          </cell>
        </row>
        <row r="7">
          <cell r="B7" t="str">
            <v>曳引轮</v>
          </cell>
          <cell r="C7" t="str">
            <v>T. Pulley</v>
          </cell>
          <cell r="V7" t="str">
            <v>曳引轮 Machine Type Code-T. Pulley Spec.-Material</v>
          </cell>
        </row>
        <row r="8">
          <cell r="B8" t="str">
            <v>曳引轮</v>
          </cell>
          <cell r="C8" t="str">
            <v>T. Pulley</v>
          </cell>
          <cell r="V8" t="str">
            <v>曳引轮 TW160 D720/8×d13/U45°105° HT150</v>
          </cell>
        </row>
        <row r="9">
          <cell r="B9" t="str">
            <v>波形弹簧</v>
          </cell>
          <cell r="C9" t="str">
            <v>Wave Spring</v>
          </cell>
          <cell r="V9" t="str">
            <v>波形弹簧 Spec.-Standard Code</v>
          </cell>
        </row>
        <row r="10">
          <cell r="B10" t="str">
            <v>波形弹簧</v>
          </cell>
          <cell r="C10" t="str">
            <v>Wave Spring</v>
          </cell>
          <cell r="V10" t="str">
            <v>波形弹簧 D170 JB/T7590</v>
          </cell>
        </row>
        <row r="11">
          <cell r="B11" t="str">
            <v>千斤顶</v>
          </cell>
          <cell r="C11" t="str">
            <v>Jack</v>
          </cell>
          <cell r="V11" t="str">
            <v>千斤顶 Type</v>
          </cell>
        </row>
        <row r="12">
          <cell r="B12" t="str">
            <v>千斤顶</v>
          </cell>
          <cell r="C12" t="str">
            <v>Jack</v>
          </cell>
          <cell r="V12" t="str">
            <v>千斤顶 JRC-51</v>
          </cell>
        </row>
        <row r="13">
          <cell r="B13" t="str">
            <v>曳引机机架</v>
          </cell>
          <cell r="C13" t="str">
            <v>T/M Frame</v>
          </cell>
          <cell r="V13" t="str">
            <v>曳引机机架 Machine Type-Deflection Pulley Position-Machine Pulley Position-CWT Position</v>
          </cell>
        </row>
        <row r="14">
          <cell r="B14" t="str">
            <v>曳引机机架</v>
          </cell>
          <cell r="C14" t="str">
            <v>T/M Frame</v>
          </cell>
          <cell r="V14" t="str">
            <v>曳引机机架 TW160 Pulley/L M/L CWT/L</v>
          </cell>
        </row>
        <row r="15">
          <cell r="B15" t="str">
            <v>垫片</v>
          </cell>
          <cell r="C15" t="str">
            <v>Shim</v>
          </cell>
          <cell r="V15" t="str">
            <v>垫片 Thickness(mm)</v>
          </cell>
        </row>
        <row r="16">
          <cell r="B16" t="str">
            <v>垫片</v>
          </cell>
          <cell r="C16" t="str">
            <v>Shim</v>
          </cell>
          <cell r="V16" t="str">
            <v>垫片 t5</v>
          </cell>
        </row>
        <row r="17">
          <cell r="B17" t="str">
            <v>导向轮组件</v>
          </cell>
          <cell r="C17" t="str">
            <v>Deflection Pulley Assy</v>
          </cell>
          <cell r="V17" t="str">
            <v>导向轮组件 Pulley Dia.(mm)-Groove quantity-Rope dia.(mm)-Groove distance(mm)</v>
          </cell>
        </row>
        <row r="18">
          <cell r="B18" t="str">
            <v>导向轮组件</v>
          </cell>
          <cell r="C18" t="str">
            <v>Deflection Pulley Assy</v>
          </cell>
          <cell r="V18" t="str">
            <v>导向轮组件 D720 8*d13*17</v>
          </cell>
        </row>
        <row r="19">
          <cell r="B19" t="str">
            <v>减震装置</v>
          </cell>
          <cell r="C19" t="str">
            <v>Vibrating Absorber</v>
          </cell>
          <cell r="V19" t="str">
            <v xml:space="preserve">减震装置 </v>
          </cell>
        </row>
        <row r="20">
          <cell r="B20" t="str">
            <v>减震装置</v>
          </cell>
          <cell r="C20" t="str">
            <v>Vibrating Absorber</v>
          </cell>
          <cell r="V20" t="str">
            <v xml:space="preserve">减震装置 </v>
          </cell>
        </row>
        <row r="21">
          <cell r="B21" t="str">
            <v>绳头端接装置</v>
          </cell>
          <cell r="C21" t="str">
            <v>Rope Fastening</v>
          </cell>
          <cell r="V21" t="str">
            <v>绳头端接装置 Rope Dia.(mm)-Type</v>
          </cell>
        </row>
        <row r="22">
          <cell r="B22" t="str">
            <v>绳头端接装置</v>
          </cell>
          <cell r="C22" t="str">
            <v>Rope Fastening</v>
          </cell>
          <cell r="V22" t="str">
            <v>绳头端接装置 d8 Rubber</v>
          </cell>
        </row>
        <row r="23">
          <cell r="B23" t="str">
            <v>挡绳板</v>
          </cell>
          <cell r="C23" t="str">
            <v>Rope Guard Plate</v>
          </cell>
          <cell r="V23" t="str">
            <v xml:space="preserve">挡绳板 </v>
          </cell>
        </row>
        <row r="24">
          <cell r="B24" t="str">
            <v>挡绳板</v>
          </cell>
          <cell r="C24" t="str">
            <v>Rope Guard Plate</v>
          </cell>
          <cell r="V24" t="str">
            <v xml:space="preserve">挡绳板 </v>
          </cell>
        </row>
        <row r="25">
          <cell r="B25" t="str">
            <v>连接板</v>
          </cell>
          <cell r="C25" t="str">
            <v>Connection Plate</v>
          </cell>
          <cell r="V25" t="str">
            <v xml:space="preserve">连接板 </v>
          </cell>
        </row>
        <row r="26">
          <cell r="B26" t="str">
            <v>连接板</v>
          </cell>
          <cell r="C26" t="str">
            <v>Connection Plate</v>
          </cell>
          <cell r="V26" t="str">
            <v xml:space="preserve">连接板 </v>
          </cell>
        </row>
        <row r="27">
          <cell r="B27" t="str">
            <v>挡板</v>
          </cell>
          <cell r="C27" t="str">
            <v>Baffle</v>
          </cell>
          <cell r="V27" t="str">
            <v xml:space="preserve">挡板 </v>
          </cell>
        </row>
        <row r="28">
          <cell r="B28" t="str">
            <v>挡板</v>
          </cell>
          <cell r="C28" t="str">
            <v>Baffle</v>
          </cell>
          <cell r="V28" t="str">
            <v xml:space="preserve">挡板 </v>
          </cell>
        </row>
        <row r="29">
          <cell r="B29" t="str">
            <v>限速器</v>
          </cell>
          <cell r="C29" t="str">
            <v>Governor</v>
          </cell>
          <cell r="V29" t="str">
            <v>限速器 Type-Rated Speed-Rope Dia.(mm)-Location-Direction (Single/Double)-Tripping Direction(Right/Left)</v>
          </cell>
        </row>
        <row r="30">
          <cell r="B30" t="str">
            <v>限速器</v>
          </cell>
          <cell r="C30" t="str">
            <v>Governor</v>
          </cell>
          <cell r="V30" t="str">
            <v>限速器 XS3 0.5m/s d8 Car S</v>
          </cell>
        </row>
        <row r="31">
          <cell r="B31" t="str">
            <v>限速器</v>
          </cell>
          <cell r="C31" t="str">
            <v>Governor</v>
          </cell>
          <cell r="V31" t="str">
            <v>限速器 XS18A 2.5m/s d10 CWT D</v>
          </cell>
        </row>
        <row r="32">
          <cell r="B32" t="str">
            <v>限速器</v>
          </cell>
          <cell r="C32" t="str">
            <v>Governor</v>
          </cell>
          <cell r="V32" t="str">
            <v>限速器 GBTK6024-300S 2.5m/s d10 Car D R</v>
          </cell>
        </row>
        <row r="33">
          <cell r="B33" t="str">
            <v>限速器组件</v>
          </cell>
          <cell r="C33" t="str">
            <v>Governor Assy</v>
          </cell>
          <cell r="V33" t="str">
            <v>限速器组件 Type-Rated Speed-Rope Dia.(mm)-Location-Direction (Single/Double)</v>
          </cell>
        </row>
        <row r="34">
          <cell r="B34" t="str">
            <v>限速器组件</v>
          </cell>
          <cell r="C34" t="str">
            <v>Governor Assy</v>
          </cell>
          <cell r="V34" t="str">
            <v>限速器组件 XS3 0.5m/s d8 Car S</v>
          </cell>
        </row>
        <row r="35">
          <cell r="B35" t="str">
            <v>限速器组件</v>
          </cell>
          <cell r="C35" t="str">
            <v>Governor Assy</v>
          </cell>
          <cell r="V35" t="str">
            <v>限速器组件 XS18A 2.5m/s d10 CWT D</v>
          </cell>
        </row>
        <row r="36">
          <cell r="B36" t="str">
            <v>限速器组件</v>
          </cell>
          <cell r="C36" t="str">
            <v>Governor Assy</v>
          </cell>
          <cell r="V36" t="str">
            <v>限速器组件 GBTK6024-300S 2.5m/s d10 Car D R</v>
          </cell>
        </row>
        <row r="37">
          <cell r="B37" t="str">
            <v>限速器张紧装置</v>
          </cell>
          <cell r="C37" t="str">
            <v>G.Tension Device</v>
          </cell>
          <cell r="V37" t="str">
            <v>限速器张紧装置 Pulley Dia.(mm)-Rope Dia.(mm)-Filler Material &amp; Weight
(CM-Compound,CI-Cast Iron,SP-Steel Plate)</v>
          </cell>
        </row>
        <row r="38">
          <cell r="B38" t="str">
            <v>限速器张紧装置</v>
          </cell>
          <cell r="C38" t="str">
            <v>G.Tension Device</v>
          </cell>
          <cell r="V38" t="str">
            <v>限速器张紧装置 D241 d8 CM100kg</v>
          </cell>
        </row>
        <row r="39">
          <cell r="B39" t="str">
            <v>限速器张紧装置</v>
          </cell>
          <cell r="C39" t="str">
            <v>G.Tension Device</v>
          </cell>
          <cell r="V39" t="str">
            <v>限速器张紧装置 D300 d8 CI200kg</v>
          </cell>
        </row>
        <row r="40">
          <cell r="B40" t="str">
            <v>补偿装置</v>
          </cell>
          <cell r="C40" t="str">
            <v>Compensation Device</v>
          </cell>
          <cell r="V40" t="str">
            <v>补偿装置 Type</v>
          </cell>
        </row>
        <row r="41">
          <cell r="B41" t="str">
            <v>补偿装置</v>
          </cell>
          <cell r="C41" t="str">
            <v>Compensation Device</v>
          </cell>
          <cell r="V41" t="str">
            <v>补偿装置 WFC-9</v>
          </cell>
        </row>
        <row r="42">
          <cell r="B42" t="str">
            <v>补偿链</v>
          </cell>
          <cell r="C42" t="str">
            <v>Compensation Chain</v>
          </cell>
          <cell r="V42" t="str">
            <v>补偿链 Type</v>
          </cell>
        </row>
        <row r="43">
          <cell r="B43" t="str">
            <v>补偿链</v>
          </cell>
          <cell r="C43" t="str">
            <v>Compensation Chain</v>
          </cell>
          <cell r="V43" t="str">
            <v>补偿链 WFC-9</v>
          </cell>
        </row>
        <row r="44">
          <cell r="B44" t="str">
            <v>补偿绳</v>
          </cell>
          <cell r="C44" t="str">
            <v>C. Rope</v>
          </cell>
          <cell r="V44" t="str">
            <v>补偿绳 Type</v>
          </cell>
        </row>
        <row r="45">
          <cell r="B45" t="str">
            <v>补偿绳</v>
          </cell>
          <cell r="C45" t="str">
            <v>C. Rope</v>
          </cell>
          <cell r="V45" t="str">
            <v>补偿绳 WF150</v>
          </cell>
        </row>
        <row r="46">
          <cell r="B46" t="str">
            <v>滑动导靴</v>
          </cell>
          <cell r="C46" t="str">
            <v>Sliding Guide Shoe</v>
          </cell>
          <cell r="V46" t="str">
            <v>滑动导靴 Type-Rail Head Width</v>
          </cell>
        </row>
        <row r="47">
          <cell r="B47" t="str">
            <v>滑动导靴</v>
          </cell>
          <cell r="C47" t="str">
            <v>Sliding Guide Shoe</v>
          </cell>
          <cell r="V47" t="str">
            <v>滑动导靴 DX4A k10</v>
          </cell>
        </row>
        <row r="48">
          <cell r="B48" t="str">
            <v>滚动导靴</v>
          </cell>
          <cell r="C48" t="str">
            <v xml:space="preserve"> Roller Guide Shoe</v>
          </cell>
          <cell r="V48" t="str">
            <v>滚动导靴 Type-Rail Head Width</v>
          </cell>
        </row>
        <row r="49">
          <cell r="B49" t="str">
            <v>滚动导靴</v>
          </cell>
          <cell r="C49" t="str">
            <v>Roller Guide Shoe</v>
          </cell>
          <cell r="V49" t="str">
            <v>滚动导靴 RGS 080A k16/19/28.6</v>
          </cell>
        </row>
        <row r="50">
          <cell r="B50" t="str">
            <v>油杯</v>
          </cell>
          <cell r="C50" t="str">
            <v>Oil Cup</v>
          </cell>
          <cell r="V50" t="str">
            <v>油杯 Type</v>
          </cell>
        </row>
        <row r="51">
          <cell r="B51" t="str">
            <v>油杯</v>
          </cell>
          <cell r="C51" t="str">
            <v>Oil Cup</v>
          </cell>
          <cell r="V51" t="str">
            <v>油杯 ETG09-01</v>
          </cell>
        </row>
        <row r="52">
          <cell r="B52" t="str">
            <v>安全钳</v>
          </cell>
          <cell r="C52" t="str">
            <v>S. Gear</v>
          </cell>
          <cell r="V52" t="str">
            <v>安全钳 Type-Rated Speed(Max. m/s)-P+Q(kg)-Rail Head Width-Direction</v>
          </cell>
        </row>
        <row r="53">
          <cell r="B53" t="str">
            <v>安全钳</v>
          </cell>
          <cell r="C53" t="str">
            <v>S. Gear</v>
          </cell>
          <cell r="V53" t="str">
            <v>安全钳 AQ19 1.75-2.5 3000-4000 16/15.88</v>
          </cell>
        </row>
        <row r="54">
          <cell r="B54" t="str">
            <v>安全钳(中山进口)</v>
          </cell>
          <cell r="C54" t="str">
            <v>S. Gear(ZS Import)</v>
          </cell>
          <cell r="V54" t="str">
            <v>安全钳(中山进口) Type-Serial NO.-Mounting location-Version-Rail Head Width</v>
          </cell>
        </row>
        <row r="55">
          <cell r="B55" t="str">
            <v>安全钳(中山进口)</v>
          </cell>
          <cell r="C55" t="str">
            <v>S. Gear(ZS Import)</v>
          </cell>
          <cell r="V55" t="str">
            <v>安全钳(中山进口) 6071/ 0/L/12/k16</v>
          </cell>
        </row>
        <row r="56">
          <cell r="B56" t="str">
            <v>轿壁装饰板</v>
          </cell>
          <cell r="C56" t="str">
            <v xml:space="preserve"> Car D. Panel</v>
          </cell>
          <cell r="V56" t="str">
            <v>轿壁装饰板 Car Panel Width(mm)-Car Height(mm)-Surface Finish</v>
          </cell>
        </row>
        <row r="57">
          <cell r="B57" t="str">
            <v>轿壁装饰板</v>
          </cell>
          <cell r="C57" t="str">
            <v xml:space="preserve"> Car D. Panel</v>
          </cell>
          <cell r="V57" t="str">
            <v>轿壁装饰板 500 CH2400 FS/0.6/HL</v>
          </cell>
        </row>
        <row r="58">
          <cell r="B58" t="str">
            <v>轿门门楣组件</v>
          </cell>
          <cell r="C58" t="str">
            <v>C/Door Lintel Assy</v>
          </cell>
          <cell r="V58" t="str">
            <v>轿门门楣组件 Door Clear Opening Width(mm)-Car Clear Width(mm)-Openning Direction-Surface Finish</v>
          </cell>
        </row>
        <row r="59">
          <cell r="B59" t="str">
            <v>轿门门楣组件</v>
          </cell>
          <cell r="C59" t="str">
            <v>C/Door Lintel Assy</v>
          </cell>
          <cell r="V59" t="str">
            <v>轿门门楣组件 DW800 CW1100 LO SUS304/HL</v>
          </cell>
        </row>
        <row r="60">
          <cell r="B60" t="str">
            <v>轿门门楣组件</v>
          </cell>
          <cell r="C60" t="str">
            <v>C/Door Lintel Assy</v>
          </cell>
          <cell r="V60" t="str">
            <v>轿门门楣组件 DW1000 CW1600 CO PC</v>
          </cell>
        </row>
        <row r="61">
          <cell r="B61" t="str">
            <v>厅门门楣组件</v>
          </cell>
          <cell r="C61" t="str">
            <v>L/Door Lintel Assy</v>
          </cell>
          <cell r="V61" t="str">
            <v>厅门门楣组件 Door Clear Opening Width(mm)-Openning Direction-Surface Finish</v>
          </cell>
        </row>
        <row r="62">
          <cell r="B62" t="str">
            <v>厅门门楣组件</v>
          </cell>
          <cell r="C62" t="str">
            <v>L/Door Lintel Assy</v>
          </cell>
          <cell r="V62" t="str">
            <v>厅门门楣组件 DW800 RO/4 MI</v>
          </cell>
        </row>
        <row r="63">
          <cell r="B63" t="str">
            <v>门楣板</v>
          </cell>
          <cell r="C63" t="str">
            <v>Lintel Plate</v>
          </cell>
          <cell r="V63" t="str">
            <v>门楣板 Door Clear Opening Width(mm)</v>
          </cell>
        </row>
        <row r="64">
          <cell r="B64" t="str">
            <v>门楣板</v>
          </cell>
          <cell r="C64" t="str">
            <v>Lintel Plate</v>
          </cell>
          <cell r="V64" t="str">
            <v>门楣板 DW800</v>
          </cell>
        </row>
        <row r="65">
          <cell r="B65" t="str">
            <v>门楣装饰板</v>
          </cell>
          <cell r="C65" t="str">
            <v>Lintel Decoration Plate</v>
          </cell>
          <cell r="V65" t="str">
            <v>门楣装饰板 Type-Door Clear Opening Width(mm)-Surface Finish</v>
          </cell>
        </row>
        <row r="66">
          <cell r="B66" t="str">
            <v>门楣装饰板</v>
          </cell>
          <cell r="C66" t="str">
            <v>Lintel Decoration Plate</v>
          </cell>
          <cell r="V66" t="str">
            <v>门楣装饰板 S200 DW800 FS/0.6/HL</v>
          </cell>
        </row>
        <row r="67">
          <cell r="B67" t="str">
            <v>钢化玻璃</v>
          </cell>
          <cell r="C67" t="str">
            <v>Tempered Glass</v>
          </cell>
          <cell r="V67" t="str">
            <v>钢化玻璃 Size(mm)</v>
          </cell>
        </row>
        <row r="68">
          <cell r="B68" t="str">
            <v>钢化玻璃</v>
          </cell>
          <cell r="C68" t="str">
            <v>Tempered Glass</v>
          </cell>
          <cell r="V68" t="str">
            <v>钢化玻璃 10*500*100</v>
          </cell>
        </row>
        <row r="69">
          <cell r="B69" t="str">
            <v>夹胶玻璃</v>
          </cell>
          <cell r="C69" t="str">
            <v>Laminated Glass</v>
          </cell>
          <cell r="V69" t="str">
            <v>夹胶玻璃 Type-Size(mm)-Type</v>
          </cell>
        </row>
        <row r="70">
          <cell r="B70" t="str">
            <v>夹胶玻璃</v>
          </cell>
          <cell r="C70" t="str">
            <v>Laminated Glass</v>
          </cell>
          <cell r="V70" t="str">
            <v>夹胶玻璃 5+1.52+5 10*500*100 synergy</v>
          </cell>
        </row>
        <row r="71">
          <cell r="B71" t="str">
            <v>轿顶</v>
          </cell>
          <cell r="C71" t="str">
            <v xml:space="preserve">Car Roof </v>
          </cell>
          <cell r="V71" t="str">
            <v>轿顶 Car  Width(mm)-Car Depth(mm)-Open Through or Front Open-Type</v>
          </cell>
        </row>
        <row r="72">
          <cell r="B72" t="str">
            <v>轿顶</v>
          </cell>
          <cell r="C72" t="str">
            <v>Car Roof</v>
          </cell>
          <cell r="V72" t="str">
            <v>轿顶 CW1350 CD1400 FO synergy</v>
          </cell>
        </row>
        <row r="73">
          <cell r="B73" t="str">
            <v>风扇</v>
          </cell>
          <cell r="C73" t="str">
            <v>Fan</v>
          </cell>
          <cell r="V73" t="str">
            <v>风扇 Type-Rated Voltage- Air Volume-Power</v>
          </cell>
        </row>
        <row r="74">
          <cell r="B74" t="str">
            <v>风扇</v>
          </cell>
          <cell r="C74" t="str">
            <v>Fan</v>
          </cell>
          <cell r="V74" t="str">
            <v>风扇 FB-9B AC220V 3.5m3/min 2kW</v>
          </cell>
        </row>
        <row r="75">
          <cell r="B75" t="str">
            <v>吊顶</v>
          </cell>
          <cell r="C75" t="str">
            <v>Suspended Ceiling</v>
          </cell>
          <cell r="V75" t="str">
            <v>吊顶 Type-Car  Width(mm)-Car Depth(mm)</v>
          </cell>
        </row>
        <row r="76">
          <cell r="B76" t="str">
            <v>吊顶</v>
          </cell>
          <cell r="C76" t="str">
            <v xml:space="preserve"> Suspended Ceiling</v>
          </cell>
          <cell r="V76" t="str">
            <v>吊顶 CL001 CW1350 CD1400</v>
          </cell>
        </row>
        <row r="77">
          <cell r="B77" t="str">
            <v>灯</v>
          </cell>
          <cell r="C77" t="str">
            <v>Lamp</v>
          </cell>
          <cell r="V77" t="str">
            <v>灯 Type-Manufactrurer-Rated Voltage-Power</v>
          </cell>
        </row>
        <row r="78">
          <cell r="B78" t="str">
            <v>灯</v>
          </cell>
          <cell r="C78" t="str">
            <v>Lamp</v>
          </cell>
          <cell r="V78" t="str">
            <v>灯  TH303/ES OPPLE12V10W</v>
          </cell>
        </row>
        <row r="79">
          <cell r="B79" t="str">
            <v>踢脚板</v>
          </cell>
          <cell r="C79" t="str">
            <v>Kick Plate</v>
          </cell>
          <cell r="V79" t="str">
            <v>踢脚板 Height(mm)-Length(mm)</v>
          </cell>
        </row>
        <row r="80">
          <cell r="B80" t="str">
            <v>踢脚板</v>
          </cell>
          <cell r="C80" t="str">
            <v>Kick Plate</v>
          </cell>
          <cell r="V80" t="str">
            <v>踢脚板 H50 L1000</v>
          </cell>
        </row>
        <row r="81">
          <cell r="B81" t="str">
            <v>地板装饰层</v>
          </cell>
          <cell r="C81" t="str">
            <v>Floor Decoration Cover</v>
          </cell>
          <cell r="V81" t="str">
            <v>地板装饰层 Meterial-Thickness(mm)</v>
          </cell>
        </row>
        <row r="82">
          <cell r="B82" t="str">
            <v>地板装饰层</v>
          </cell>
          <cell r="C82" t="str">
            <v>Floor Decoration Cover</v>
          </cell>
          <cell r="V82" t="str">
            <v>地板装饰层 PVC t2</v>
          </cell>
        </row>
        <row r="83">
          <cell r="B83" t="str">
            <v>轿底组件</v>
          </cell>
          <cell r="C83" t="str">
            <v>Car Floor Assy</v>
          </cell>
          <cell r="V83" t="str">
            <v>轿底组件 Car  Width(mm)-Car Depth(mm)-Door Clear Opening Width(mm)-Floor Decoration-Type</v>
          </cell>
        </row>
        <row r="84">
          <cell r="B84" t="str">
            <v>轿底组件</v>
          </cell>
          <cell r="C84" t="str">
            <v>Car Floor Assy</v>
          </cell>
          <cell r="V84" t="str">
            <v>轿底组件 CW1350 CD1400 DW900 PVC synergy</v>
          </cell>
        </row>
        <row r="85">
          <cell r="B85" t="str">
            <v>轿顶防护栏</v>
          </cell>
          <cell r="C85" t="str">
            <v>Car Top Guard</v>
          </cell>
          <cell r="V85" t="str">
            <v>轿顶防护栏 Car  Width(mm)-Car Depth(mm)-Height(mm)-Open Through or Front Open</v>
          </cell>
        </row>
        <row r="86">
          <cell r="B86" t="str">
            <v>轿顶防护栏</v>
          </cell>
          <cell r="C86" t="str">
            <v>Car Top Guard</v>
          </cell>
          <cell r="V86" t="str">
            <v>轿顶防护栏 CW1350 CD1400 H700 OT</v>
          </cell>
        </row>
        <row r="87">
          <cell r="B87" t="str">
            <v>平衡块</v>
          </cell>
          <cell r="C87" t="str">
            <v>Balance Filler</v>
          </cell>
          <cell r="V87" t="str">
            <v>平衡块 Weight</v>
          </cell>
        </row>
        <row r="88">
          <cell r="B88" t="str">
            <v>平衡块</v>
          </cell>
          <cell r="C88" t="str">
            <v>Balance Filler</v>
          </cell>
          <cell r="V88" t="str">
            <v>平衡块 20kg</v>
          </cell>
        </row>
        <row r="89">
          <cell r="B89" t="str">
            <v>轿厢架</v>
          </cell>
          <cell r="C89" t="str">
            <v>Car Frame</v>
          </cell>
          <cell r="V89" t="str">
            <v>轿厢架 Traction ratio-Car Width(mm)-Type-Persons</v>
          </cell>
        </row>
        <row r="90">
          <cell r="B90" t="str">
            <v>轿厢架</v>
          </cell>
          <cell r="C90" t="str">
            <v>Car Frame</v>
          </cell>
          <cell r="V90" t="str">
            <v>轿厢架 1:1 CW1680 synergy 15P</v>
          </cell>
        </row>
        <row r="91">
          <cell r="B91" t="str">
            <v>轿顶轮组件</v>
          </cell>
          <cell r="C91" t="str">
            <v>Car Top Pulley Assy</v>
          </cell>
          <cell r="V91" t="str">
            <v>轿顶轮组件 Pulley Dia.(mm)-Groove quantity-Rope dia.(mm)-Groove distance(mm)</v>
          </cell>
        </row>
        <row r="92">
          <cell r="B92" t="str">
            <v>轿顶轮组件</v>
          </cell>
          <cell r="C92" t="str">
            <v>Car Top Pulley Assy</v>
          </cell>
          <cell r="V92" t="str">
            <v>轿顶轮组件 D720 8*d13*17</v>
          </cell>
        </row>
        <row r="93">
          <cell r="B93" t="str">
            <v>上梁组件</v>
          </cell>
          <cell r="C93" t="str">
            <v>Top Beam Assy</v>
          </cell>
          <cell r="V93" t="str">
            <v>上梁组件 Traction Ratio-Car Width(mm)</v>
          </cell>
        </row>
        <row r="94">
          <cell r="B94" t="str">
            <v>上梁组件</v>
          </cell>
          <cell r="C94" t="str">
            <v>Top Beam Assy</v>
          </cell>
          <cell r="V94" t="str">
            <v>上梁组件 2:1 CW1680</v>
          </cell>
        </row>
        <row r="95">
          <cell r="B95" t="str">
            <v>下梁组件</v>
          </cell>
          <cell r="C95" t="str">
            <v>Bottom Beam Assy</v>
          </cell>
          <cell r="V95" t="str">
            <v>下梁组件 Traction Ratio-Car Width(mm)</v>
          </cell>
        </row>
        <row r="96">
          <cell r="B96" t="str">
            <v>下梁组件</v>
          </cell>
          <cell r="C96" t="str">
            <v>Bottom Beam Assy</v>
          </cell>
          <cell r="V96" t="str">
            <v>下梁组件 1:1 CW1680</v>
          </cell>
        </row>
        <row r="97">
          <cell r="B97" t="str">
            <v>对重框架组件</v>
          </cell>
          <cell r="C97" t="str">
            <v>CWT Frame Assy</v>
          </cell>
          <cell r="V97" t="str">
            <v>对重框架组件 Traction Ratio-Cwt Gauge(mm)-Frame Thickness(mm)</v>
          </cell>
        </row>
        <row r="98">
          <cell r="B98" t="str">
            <v>对重框架组件</v>
          </cell>
          <cell r="C98" t="str">
            <v>CWT Frame Assy</v>
          </cell>
          <cell r="V98" t="str">
            <v>对重框架组件 2:1 CWG1280 t180</v>
          </cell>
        </row>
        <row r="99">
          <cell r="B99" t="str">
            <v>对重轮组件</v>
          </cell>
          <cell r="C99" t="str">
            <v>CWT Pulley Assy</v>
          </cell>
          <cell r="V99" t="str">
            <v>对重轮组件 Pulley Dia.(mm)-Groove quantity-Rope dia.(mm)-Groove distance(mm)</v>
          </cell>
        </row>
        <row r="100">
          <cell r="B100" t="str">
            <v>对重轮组件</v>
          </cell>
          <cell r="C100" t="str">
            <v>CWT Pulley Assy</v>
          </cell>
          <cell r="V100" t="str">
            <v>对重轮组件 D720 8*d13*17</v>
          </cell>
        </row>
        <row r="101">
          <cell r="B101" t="str">
            <v>对重块</v>
          </cell>
          <cell r="C101" t="str">
            <v>CWT Filler</v>
          </cell>
          <cell r="V101" t="str">
            <v>对重块 Weight-Length(mm)-Material</v>
          </cell>
        </row>
        <row r="102">
          <cell r="B102" t="str">
            <v>对重块</v>
          </cell>
          <cell r="C102" t="str">
            <v>CWT Filler</v>
          </cell>
          <cell r="V102" t="str">
            <v>对重块 50kg L920 CM</v>
          </cell>
        </row>
        <row r="103">
          <cell r="B103" t="str">
            <v>对重块</v>
          </cell>
          <cell r="C103" t="str">
            <v>CWT Filler</v>
          </cell>
          <cell r="V103" t="str">
            <v>对重块 65kg L1210 CI</v>
          </cell>
        </row>
        <row r="104">
          <cell r="B104" t="str">
            <v>厅门悬挂组件</v>
          </cell>
          <cell r="C104" t="str">
            <v>L/Door S. Assy</v>
          </cell>
          <cell r="V104" t="str">
            <v>厅门悬挂组件 Type-Openning Direction-Style-Door Clear Opening Width(mm)-Surface Finish</v>
          </cell>
        </row>
        <row r="105">
          <cell r="B105" t="str">
            <v>厅门悬挂组件</v>
          </cell>
          <cell r="C105" t="str">
            <v>L/Door S. Assy</v>
          </cell>
          <cell r="V105" t="str">
            <v>厅门悬挂组件 K200 CO FP DW800 MI</v>
          </cell>
        </row>
        <row r="106">
          <cell r="B106" t="str">
            <v>轿门悬挂组件</v>
          </cell>
          <cell r="C106" t="str">
            <v>C/Door S. Assy</v>
          </cell>
          <cell r="V106" t="str">
            <v>轿门悬挂组件 Type-Openning Direction-Style-Door Clear Opening Width(mm)</v>
          </cell>
        </row>
        <row r="107">
          <cell r="B107" t="str">
            <v>轿门悬挂组件</v>
          </cell>
          <cell r="C107" t="str">
            <v>C/Door S. Assy</v>
          </cell>
          <cell r="V107" t="str">
            <v>轿门悬挂组件 K200 CO FP DW800</v>
          </cell>
        </row>
        <row r="108">
          <cell r="B108" t="str">
            <v>轿门安全保护装置</v>
          </cell>
          <cell r="C108" t="str">
            <v>C/Door Safety Protection Device</v>
          </cell>
          <cell r="V108" t="str">
            <v xml:space="preserve">轿门安全保护装置 </v>
          </cell>
        </row>
        <row r="109">
          <cell r="B109" t="str">
            <v>轿门安全保护装置</v>
          </cell>
          <cell r="C109" t="str">
            <v>C/Door Safety Protection Device</v>
          </cell>
          <cell r="V109" t="str">
            <v xml:space="preserve">轿门安全保护装置 </v>
          </cell>
        </row>
        <row r="110">
          <cell r="B110" t="str">
            <v>安全触板</v>
          </cell>
          <cell r="C110" t="str">
            <v>Safety Shoe</v>
          </cell>
          <cell r="V110" t="str">
            <v>安全触板 Type-Openning Direction-Special</v>
          </cell>
        </row>
        <row r="111">
          <cell r="B111" t="str">
            <v>安全触板</v>
          </cell>
          <cell r="C111" t="str">
            <v>Safety Shoe</v>
          </cell>
          <cell r="V111" t="str">
            <v>安全触板 D100SL CO/2 Light Curtain</v>
          </cell>
        </row>
        <row r="112">
          <cell r="B112" t="str">
            <v>光幕</v>
          </cell>
          <cell r="C112" t="str">
            <v>Light Curtain</v>
          </cell>
          <cell r="V112" t="str">
            <v>光幕 Type</v>
          </cell>
        </row>
        <row r="113">
          <cell r="B113" t="str">
            <v>光幕</v>
          </cell>
          <cell r="C113" t="str">
            <v>Light Curtain</v>
          </cell>
          <cell r="V113" t="str">
            <v>光幕 Memco 618 180-TK</v>
          </cell>
        </row>
        <row r="114">
          <cell r="B114" t="str">
            <v>绳轮</v>
          </cell>
          <cell r="C114" t="str">
            <v>Rope Pulley</v>
          </cell>
          <cell r="V114" t="str">
            <v>绳轮 Pulley Dia.(mm)-Groove quantity-Rope dia.(mm)-Groove distance(mm)-Material</v>
          </cell>
        </row>
        <row r="115">
          <cell r="B115" t="str">
            <v>绳轮</v>
          </cell>
          <cell r="C115" t="str">
            <v>Rope Pulley</v>
          </cell>
          <cell r="V115" t="str">
            <v>绳轮 D720/8*d13*17 Nylon</v>
          </cell>
        </row>
        <row r="116">
          <cell r="B116" t="str">
            <v>绳轮组件</v>
          </cell>
          <cell r="C116" t="str">
            <v>Rope Pulley Assy</v>
          </cell>
          <cell r="V116" t="str">
            <v>绳轮组件 Pulley Dia.(mm)-Groove quantity-Rope dia.(mm)-Groove distance(mm)-Material</v>
          </cell>
        </row>
        <row r="117">
          <cell r="B117" t="str">
            <v>绳轮组件</v>
          </cell>
          <cell r="C117" t="str">
            <v>Rope Pulley Assy</v>
          </cell>
          <cell r="V117" t="str">
            <v>绳轮组件 D720/8*d13*17 Nylon</v>
          </cell>
        </row>
        <row r="118">
          <cell r="B118" t="str">
            <v>轿门门板</v>
          </cell>
          <cell r="C118" t="str">
            <v>C/Door Panel</v>
          </cell>
          <cell r="V118" t="str">
            <v>轿门门板 Openning Direction-Style-Door Clear Opening Width(mm)-Door Clear Height(mm)-Surface Finish</v>
          </cell>
        </row>
        <row r="119">
          <cell r="B119" t="str">
            <v>轿门门板</v>
          </cell>
          <cell r="C119" t="str">
            <v>C/Door Panel</v>
          </cell>
          <cell r="V119" t="str">
            <v>轿门门板 CO/2 FP DW900 DH2100 FS/HL</v>
          </cell>
        </row>
        <row r="120">
          <cell r="B120" t="str">
            <v>厅门门板</v>
          </cell>
          <cell r="C120" t="str">
            <v>L/Door Panel</v>
          </cell>
          <cell r="V120" t="str">
            <v>厅门门板 Openning Direction-Style-Door Clear Opening Width(mm)-Door Clear Height(mm)-Surface Finish</v>
          </cell>
        </row>
        <row r="121">
          <cell r="B121" t="str">
            <v>厅门门板</v>
          </cell>
          <cell r="C121" t="str">
            <v>L/Door Panel</v>
          </cell>
          <cell r="V121" t="str">
            <v>厅门门板 CO/2 FP DW900 DH2100 FS/HL</v>
          </cell>
        </row>
        <row r="122">
          <cell r="B122" t="str">
            <v>门地坎</v>
          </cell>
          <cell r="C122" t="str">
            <v>Door Sill</v>
          </cell>
          <cell r="V122" t="str">
            <v>门地坎 Type-Openning Direction-Door Clear Opening Width(mm)-Width(mm)-Material</v>
          </cell>
        </row>
        <row r="123">
          <cell r="B123" t="str">
            <v>门地坎</v>
          </cell>
          <cell r="C123" t="str">
            <v>Door Sill</v>
          </cell>
          <cell r="V123" t="str">
            <v>门地坎 K200 CO/2 DW800 54 AI</v>
          </cell>
        </row>
        <row r="124">
          <cell r="B124" t="str">
            <v>大门套</v>
          </cell>
          <cell r="C124" t="str">
            <v>L/W Jamb</v>
          </cell>
          <cell r="V124" t="str">
            <v>大门套 Type-Openning Direction-Style-Door Clear Opening Width(mm)-Door Clear Height(mm)-Surface Finish</v>
          </cell>
        </row>
        <row r="125">
          <cell r="B125" t="str">
            <v>大门套</v>
          </cell>
          <cell r="C125" t="str">
            <v>L/W Jamb</v>
          </cell>
          <cell r="V125" t="str">
            <v>大门套 S200 CO/2 DG DW800 DH2100 FS/HL</v>
          </cell>
        </row>
        <row r="126">
          <cell r="B126" t="str">
            <v>厅门安装附件</v>
          </cell>
          <cell r="C126" t="str">
            <v>L/Door Fix Accessories</v>
          </cell>
          <cell r="V126" t="str">
            <v>厅门安装附件 Door Clear Opening Width(mm)</v>
          </cell>
        </row>
        <row r="127">
          <cell r="B127" t="str">
            <v>厅门安装附件</v>
          </cell>
          <cell r="C127" t="str">
            <v>L/Door Fix Accessories</v>
          </cell>
          <cell r="V127" t="str">
            <v>厅门安装附件 DW800</v>
          </cell>
        </row>
        <row r="128">
          <cell r="B128" t="str">
            <v>轿门安装附件</v>
          </cell>
          <cell r="C128" t="str">
            <v>C/Door Fix Accessories</v>
          </cell>
          <cell r="V128" t="str">
            <v>轿门安装附件 Door Clear Opening Width(mm)</v>
          </cell>
        </row>
        <row r="129">
          <cell r="B129" t="str">
            <v>轿门安装附件</v>
          </cell>
          <cell r="C129" t="str">
            <v>C/Door Fix Accessories</v>
          </cell>
          <cell r="V129" t="str">
            <v>轿门安装附件 DW800</v>
          </cell>
        </row>
        <row r="130">
          <cell r="B130" t="str">
            <v>油压缓冲器</v>
          </cell>
          <cell r="C130" t="str">
            <v>Oil Buffer</v>
          </cell>
          <cell r="V130" t="str">
            <v>油压缓冲器 Type-Production Place</v>
          </cell>
        </row>
        <row r="131">
          <cell r="B131" t="str">
            <v>油压缓冲器</v>
          </cell>
          <cell r="C131" t="str">
            <v>Oil Buffer</v>
          </cell>
          <cell r="V131" t="str">
            <v>油压缓冲器 01C Domestic</v>
          </cell>
        </row>
        <row r="132">
          <cell r="B132" t="str">
            <v>油压缓冲器</v>
          </cell>
          <cell r="C132" t="str">
            <v>Oil Buffer</v>
          </cell>
          <cell r="V132" t="str">
            <v>油压缓冲器 01C Import</v>
          </cell>
        </row>
        <row r="133">
          <cell r="B133" t="str">
            <v>聚氨酯缓冲器</v>
          </cell>
          <cell r="C133" t="str">
            <v>Polyurethane Buffer</v>
          </cell>
          <cell r="V133" t="str">
            <v>聚氨酯缓冲器 Type</v>
          </cell>
        </row>
        <row r="134">
          <cell r="B134" t="str">
            <v>聚氨酯缓冲器</v>
          </cell>
          <cell r="C134" t="str">
            <v>Polyurethane Buffer</v>
          </cell>
          <cell r="V134" t="str">
            <v>聚氨酯缓冲器 JHQ-C-12</v>
          </cell>
        </row>
        <row r="135">
          <cell r="B135" t="str">
            <v>缓冲器支架</v>
          </cell>
          <cell r="C135" t="str">
            <v>Buffer Support</v>
          </cell>
          <cell r="V135" t="str">
            <v>缓冲器支架 Height(mm)</v>
          </cell>
        </row>
        <row r="136">
          <cell r="B136" t="str">
            <v>缓冲器支架</v>
          </cell>
          <cell r="C136" t="str">
            <v>Buffer Support</v>
          </cell>
          <cell r="V136" t="str">
            <v>缓冲器支架 H400</v>
          </cell>
        </row>
        <row r="137">
          <cell r="B137" t="str">
            <v>导轨</v>
          </cell>
          <cell r="C137" t="str">
            <v>Guide Rail</v>
          </cell>
          <cell r="V137" t="str">
            <v>导轨 Type-Standard Code</v>
          </cell>
        </row>
        <row r="138">
          <cell r="B138" t="str">
            <v>导轨</v>
          </cell>
          <cell r="C138" t="str">
            <v>Guide Rail</v>
          </cell>
          <cell r="V138" t="str">
            <v>导轨 T89/B  JG/T5072.1</v>
          </cell>
        </row>
        <row r="139">
          <cell r="B139" t="str">
            <v>导轨连接板</v>
          </cell>
          <cell r="C139" t="str">
            <v>Fishplate</v>
          </cell>
          <cell r="V139" t="str">
            <v>导轨连接板 Rail Type-Standard Code</v>
          </cell>
        </row>
        <row r="140">
          <cell r="B140" t="str">
            <v>导轨连接板</v>
          </cell>
          <cell r="C140" t="str">
            <v>Fishplate</v>
          </cell>
          <cell r="V140" t="str">
            <v>导轨连接板 T89/B  JG/T5072.1</v>
          </cell>
        </row>
        <row r="141">
          <cell r="B141" t="str">
            <v>钢丝绳</v>
          </cell>
          <cell r="C141" t="str">
            <v>Steel Wire Rope</v>
          </cell>
          <cell r="V141" t="str">
            <v>钢丝绳 Diameter(mm)-Structure-Tensile Strength(N/mm2)-Surface-Direction Of Lay</v>
          </cell>
        </row>
        <row r="142">
          <cell r="B142" t="str">
            <v>钢丝绳</v>
          </cell>
          <cell r="C142" t="str">
            <v>Steel Wire Rope</v>
          </cell>
          <cell r="V142" t="str">
            <v>钢丝绳 13 8×19S+NFC 1370/1770 U sZ</v>
          </cell>
        </row>
        <row r="143">
          <cell r="B143" t="str">
            <v>钢丝绳</v>
          </cell>
          <cell r="C143" t="str">
            <v>Steel Wire Rope</v>
          </cell>
          <cell r="V143" t="str">
            <v>钢丝绳 8  8×19W+IWRC 1570 B sZ</v>
          </cell>
        </row>
        <row r="144">
          <cell r="B144" t="str">
            <v>导轨支架</v>
          </cell>
          <cell r="C144" t="str">
            <v>Guide Rail Bracket</v>
          </cell>
          <cell r="V144" t="str">
            <v>导轨支架 Rail back face to wall(mm)-Rail center to wall(mm)-Guide Rail</v>
          </cell>
        </row>
        <row r="145">
          <cell r="B145" t="str">
            <v>导轨支架</v>
          </cell>
          <cell r="C145" t="str">
            <v>Guide Rail Bracket</v>
          </cell>
          <cell r="V145" t="str">
            <v>导轨支架 F140 C165 T89/B</v>
          </cell>
        </row>
        <row r="146">
          <cell r="B146" t="str">
            <v>锚栓</v>
          </cell>
          <cell r="C146" t="str">
            <v>Anchor</v>
          </cell>
          <cell r="V146" t="str">
            <v>锚栓 Type-Reference Standard</v>
          </cell>
        </row>
        <row r="147">
          <cell r="B147" t="str">
            <v>锚栓</v>
          </cell>
          <cell r="C147" t="str">
            <v>Anchor</v>
          </cell>
          <cell r="V147" t="str">
            <v>锚栓 M12×90/50-TGQ R000000272</v>
          </cell>
        </row>
        <row r="148">
          <cell r="B148" t="str">
            <v>导轨压板</v>
          </cell>
          <cell r="C148" t="str">
            <v>Rail Clip</v>
          </cell>
          <cell r="V148" t="str">
            <v>导轨压板 Type</v>
          </cell>
        </row>
        <row r="149">
          <cell r="B149" t="str">
            <v>导轨压板</v>
          </cell>
          <cell r="C149" t="str">
            <v>Rail Clip</v>
          </cell>
          <cell r="V149" t="str">
            <v>导轨压板 A13</v>
          </cell>
        </row>
        <row r="150">
          <cell r="B150" t="str">
            <v>导线</v>
          </cell>
          <cell r="C150" t="str">
            <v>Wire</v>
          </cell>
          <cell r="V150" t="str">
            <v>导线 Type-Diameter(mm)-Cross Section-Color</v>
          </cell>
        </row>
        <row r="151">
          <cell r="B151" t="str">
            <v>导线</v>
          </cell>
          <cell r="C151" t="str">
            <v>Wire</v>
          </cell>
          <cell r="V151" t="str">
            <v>导线 AVR d1.2*0.75mm2 RD</v>
          </cell>
        </row>
        <row r="152">
          <cell r="B152" t="str">
            <v>电缆</v>
          </cell>
          <cell r="C152" t="str">
            <v>Cable</v>
          </cell>
          <cell r="V152" t="str">
            <v>电缆 Type-Diameter(mm)-Cross Section-Color</v>
          </cell>
        </row>
        <row r="153">
          <cell r="B153" t="str">
            <v>电缆</v>
          </cell>
          <cell r="C153" t="str">
            <v>Cable</v>
          </cell>
          <cell r="V153" t="str">
            <v>电缆 RVV2*1.0 d1.2*0.75mm2 RD</v>
          </cell>
        </row>
        <row r="154">
          <cell r="B154" t="str">
            <v>二极管</v>
          </cell>
          <cell r="C154" t="str">
            <v>Diode</v>
          </cell>
          <cell r="V154" t="str">
            <v>二极管 Type</v>
          </cell>
        </row>
        <row r="155">
          <cell r="B155" t="str">
            <v>二极管</v>
          </cell>
          <cell r="C155" t="str">
            <v>Diode</v>
          </cell>
          <cell r="V155" t="str">
            <v>二极管 1N5994</v>
          </cell>
        </row>
        <row r="156">
          <cell r="B156" t="str">
            <v>场效应管</v>
          </cell>
          <cell r="C156" t="str">
            <v>FET</v>
          </cell>
          <cell r="V156" t="str">
            <v>场效应管 Type</v>
          </cell>
        </row>
        <row r="157">
          <cell r="B157" t="str">
            <v>场效应管</v>
          </cell>
          <cell r="C157" t="str">
            <v>FET</v>
          </cell>
          <cell r="V157" t="str">
            <v>场效应管 BSP135</v>
          </cell>
        </row>
        <row r="158">
          <cell r="B158" t="str">
            <v>极限开关</v>
          </cell>
          <cell r="C158" t="str">
            <v>Limit Switch</v>
          </cell>
          <cell r="V158" t="str">
            <v>极限开关 Type</v>
          </cell>
        </row>
        <row r="159">
          <cell r="B159" t="str">
            <v>极限开关</v>
          </cell>
          <cell r="C159" t="str">
            <v>Limit Switch</v>
          </cell>
          <cell r="V159" t="str">
            <v>极限开关 S3-B EL-1370</v>
          </cell>
        </row>
        <row r="160">
          <cell r="B160" t="str">
            <v>变频器</v>
          </cell>
          <cell r="C160" t="str">
            <v>Inverter</v>
          </cell>
          <cell r="V160" t="str">
            <v>变频器 Type</v>
          </cell>
        </row>
        <row r="161">
          <cell r="B161" t="str">
            <v>变频器</v>
          </cell>
          <cell r="C161" t="str">
            <v>Inverter</v>
          </cell>
          <cell r="V161" t="str">
            <v>变频器 CPI-32</v>
          </cell>
        </row>
        <row r="162">
          <cell r="B162" t="str">
            <v>变频器</v>
          </cell>
          <cell r="C162" t="str">
            <v>Inverter</v>
          </cell>
          <cell r="V162" t="str">
            <v>变频器 ATV31H037M2A</v>
          </cell>
        </row>
        <row r="163">
          <cell r="B163" t="str">
            <v>对讲机</v>
          </cell>
          <cell r="C163" t="str">
            <v>Intercom</v>
          </cell>
          <cell r="V163" t="str">
            <v>对讲机 Type-Layout-Power Supply</v>
          </cell>
        </row>
        <row r="164">
          <cell r="B164" t="str">
            <v>对讲机</v>
          </cell>
          <cell r="C164" t="str">
            <v>Intercom</v>
          </cell>
          <cell r="V164" t="str">
            <v>对讲机 TK-T12(1-1)A</v>
          </cell>
        </row>
        <row r="165">
          <cell r="B165" t="str">
            <v>对讲机</v>
          </cell>
          <cell r="C165" t="str">
            <v>Intercom</v>
          </cell>
          <cell r="V165" t="str">
            <v>对讲机 TK-T12(1-1)59N Bus</v>
          </cell>
        </row>
        <row r="166">
          <cell r="B166" t="str">
            <v>对讲机</v>
          </cell>
          <cell r="C166" t="str">
            <v>Intercom</v>
          </cell>
          <cell r="V166" t="str">
            <v>对讲机 TK-T12(1-1)22A Mutiple Power/N</v>
          </cell>
        </row>
        <row r="167">
          <cell r="B167" t="str">
            <v>对讲机</v>
          </cell>
          <cell r="C167" t="str">
            <v>Intercom</v>
          </cell>
          <cell r="V167" t="str">
            <v>对讲机 TK-T12(1-1)32A Mutiple Power/Y</v>
          </cell>
        </row>
        <row r="168">
          <cell r="B168" t="str">
            <v>对讲系统</v>
          </cell>
          <cell r="C168" t="str">
            <v>Intercom System</v>
          </cell>
          <cell r="V168" t="str">
            <v>对讲系统 Type</v>
          </cell>
        </row>
        <row r="169">
          <cell r="B169" t="str">
            <v>对讲系统</v>
          </cell>
          <cell r="C169" t="str">
            <v>Intercom System</v>
          </cell>
          <cell r="V169" t="str">
            <v>对讲系统 JF-36X</v>
          </cell>
        </row>
        <row r="170">
          <cell r="B170" t="str">
            <v>控制板</v>
          </cell>
          <cell r="C170" t="str">
            <v>Control Board</v>
          </cell>
          <cell r="V170" t="str">
            <v>控制板 Type</v>
          </cell>
        </row>
        <row r="171">
          <cell r="B171" t="str">
            <v>控制板</v>
          </cell>
          <cell r="C171" t="str">
            <v>Control Board</v>
          </cell>
          <cell r="V171" t="str">
            <v>控制板 MF3-S</v>
          </cell>
        </row>
        <row r="172">
          <cell r="B172" t="str">
            <v>控制板</v>
          </cell>
          <cell r="C172" t="str">
            <v>Control Board</v>
          </cell>
          <cell r="V172" t="str">
            <v>控制板 MC2</v>
          </cell>
        </row>
        <row r="173">
          <cell r="B173" t="str">
            <v>曳引机铭牌</v>
          </cell>
          <cell r="C173" t="str">
            <v>T/M Nameplate</v>
          </cell>
          <cell r="V173" t="str">
            <v>曳引机铭牌 Language</v>
          </cell>
        </row>
        <row r="174">
          <cell r="B174" t="str">
            <v>曳引机铭牌</v>
          </cell>
          <cell r="C174" t="str">
            <v>T/M Nameplate</v>
          </cell>
          <cell r="V174" t="str">
            <v>曳引机铭牌 EN</v>
          </cell>
        </row>
        <row r="175">
          <cell r="B175" t="str">
            <v>限速器铭牌</v>
          </cell>
          <cell r="C175" t="str">
            <v>Governor Nameplate</v>
          </cell>
          <cell r="V175" t="str">
            <v>限速器铭牌 Language</v>
          </cell>
        </row>
        <row r="176">
          <cell r="B176" t="str">
            <v>限速器铭牌</v>
          </cell>
          <cell r="C176" t="str">
            <v>Governor Nameplate</v>
          </cell>
          <cell r="V176" t="str">
            <v>限速器铭牌 EN</v>
          </cell>
        </row>
        <row r="177">
          <cell r="B177" t="str">
            <v>安全钳铭牌</v>
          </cell>
          <cell r="C177" t="str">
            <v>Safety Gear Nameplate</v>
          </cell>
          <cell r="V177" t="str">
            <v>安全钳铭牌 Language</v>
          </cell>
        </row>
        <row r="178">
          <cell r="B178" t="str">
            <v>安全钳铭牌</v>
          </cell>
          <cell r="C178" t="str">
            <v>Safety Gear Nameplate</v>
          </cell>
          <cell r="V178" t="str">
            <v>安全钳铭牌 EN</v>
          </cell>
        </row>
        <row r="179">
          <cell r="B179" t="str">
            <v>控制柜铭牌</v>
          </cell>
          <cell r="C179" t="str">
            <v>Controller Nameplate</v>
          </cell>
          <cell r="V179" t="str">
            <v>控制柜铭牌 Language</v>
          </cell>
        </row>
        <row r="180">
          <cell r="B180" t="str">
            <v>控制柜铭牌</v>
          </cell>
          <cell r="C180" t="str">
            <v>Controller Nameplate</v>
          </cell>
          <cell r="V180" t="str">
            <v>控制柜铭牌 EN</v>
          </cell>
        </row>
        <row r="181">
          <cell r="B181" t="str">
            <v>阻容吸收器</v>
          </cell>
          <cell r="C181" t="str">
            <v>Rc Absorber</v>
          </cell>
          <cell r="V181" t="str">
            <v>阻容吸收器 Type</v>
          </cell>
        </row>
        <row r="182">
          <cell r="B182" t="str">
            <v>阻容吸收器</v>
          </cell>
          <cell r="C182" t="str">
            <v>Rc Absorber</v>
          </cell>
          <cell r="V182" t="str">
            <v>阻容吸收器 HD 1.211</v>
          </cell>
        </row>
        <row r="183">
          <cell r="B183" t="str">
            <v>粘合胶</v>
          </cell>
          <cell r="C183" t="str">
            <v>Glue</v>
          </cell>
          <cell r="V183" t="str">
            <v>粘合胶 Material -Type</v>
          </cell>
        </row>
        <row r="184">
          <cell r="B184" t="str">
            <v>粘合胶</v>
          </cell>
          <cell r="C184" t="str">
            <v>Glue</v>
          </cell>
          <cell r="V184" t="str">
            <v>粘合胶 Baide Glue ABC</v>
          </cell>
        </row>
        <row r="185">
          <cell r="B185" t="str">
            <v>极限开关组件</v>
          </cell>
          <cell r="C185" t="str">
            <v>Limit Switch Assy</v>
          </cell>
          <cell r="V185" t="str">
            <v>极限开关组件 Type</v>
          </cell>
        </row>
        <row r="186">
          <cell r="B186" t="str">
            <v>极限开关组件</v>
          </cell>
          <cell r="C186" t="str">
            <v>Limit Switch Assy</v>
          </cell>
          <cell r="V186" t="str">
            <v>极限开关组件 S3-B EL-1370</v>
          </cell>
        </row>
        <row r="187">
          <cell r="B187" t="str">
            <v>控制柜</v>
          </cell>
          <cell r="C187" t="str">
            <v>Controller</v>
          </cell>
          <cell r="V187" t="str">
            <v>控制柜 Control Model-MR/MRL-Inverter Type-Version</v>
          </cell>
        </row>
        <row r="188">
          <cell r="B188" t="str">
            <v>控制柜</v>
          </cell>
          <cell r="C188" t="str">
            <v>Controller</v>
          </cell>
          <cell r="V188" t="str">
            <v>控制柜 MC2 MR CPIK32M 13A</v>
          </cell>
        </row>
        <row r="189">
          <cell r="B189" t="str">
            <v>控制柜</v>
          </cell>
          <cell r="C189" t="str">
            <v>Controller</v>
          </cell>
          <cell r="V189" t="str">
            <v>控制柜 TIC-II MRL CPIC-I 12B</v>
          </cell>
        </row>
        <row r="190">
          <cell r="B190" t="str">
            <v>控制柜柜体</v>
          </cell>
          <cell r="C190" t="str">
            <v>Controller Cabinet</v>
          </cell>
          <cell r="V190" t="str">
            <v>控制柜柜体 Size (mm)</v>
          </cell>
        </row>
        <row r="191">
          <cell r="B191" t="str">
            <v>控制柜柜体</v>
          </cell>
          <cell r="C191" t="str">
            <v>Controller Cabinet</v>
          </cell>
          <cell r="V191" t="str">
            <v>控制柜柜体 665*350*1819</v>
          </cell>
        </row>
        <row r="192">
          <cell r="B192" t="str">
            <v>接地铜排</v>
          </cell>
          <cell r="C192" t="str">
            <v>Earthing Block</v>
          </cell>
          <cell r="V192" t="str">
            <v>接地铜排 Section</v>
          </cell>
        </row>
        <row r="193">
          <cell r="B193" t="str">
            <v>接地铜排</v>
          </cell>
          <cell r="C193" t="str">
            <v>Earthing Block</v>
          </cell>
          <cell r="V193" t="str">
            <v>接地铜排 3*150</v>
          </cell>
        </row>
        <row r="194">
          <cell r="B194" t="str">
            <v>轿厢操纵箱</v>
          </cell>
          <cell r="C194" t="str">
            <v>COP</v>
          </cell>
          <cell r="V194" t="str">
            <v>轿厢操纵箱 Type-Button-Stop/Floor-Optional Function-Display Board-Surface Finish</v>
          </cell>
        </row>
        <row r="195">
          <cell r="B195" t="str">
            <v>轿厢操纵箱</v>
          </cell>
          <cell r="C195" t="str">
            <v>COP</v>
          </cell>
          <cell r="V195" t="str">
            <v>轿厢操纵箱 AM-44G DA283 16S/16F G MA9 304/HL</v>
          </cell>
        </row>
        <row r="196">
          <cell r="B196" t="str">
            <v>轿厢操纵箱</v>
          </cell>
          <cell r="C196" t="str">
            <v>COP</v>
          </cell>
          <cell r="V196" t="str">
            <v>轿厢操纵箱 AM-44K AN170 10S/16F G/A MA9 304/HL</v>
          </cell>
        </row>
        <row r="197">
          <cell r="B197" t="str">
            <v>轿厢显示箱</v>
          </cell>
          <cell r="C197" t="str">
            <v>CIP</v>
          </cell>
          <cell r="V197" t="str">
            <v>轿厢显示箱 Type-Display-Surface Finish-Installation</v>
          </cell>
        </row>
        <row r="198">
          <cell r="B198" t="str">
            <v>轿厢显示箱</v>
          </cell>
          <cell r="C198" t="str">
            <v>CIP</v>
          </cell>
          <cell r="V198" t="str">
            <v>轿厢显示箱 CD-30D LCD 304/HL DI Plate</v>
          </cell>
        </row>
        <row r="199">
          <cell r="B199" t="str">
            <v>厅门显示箱</v>
          </cell>
          <cell r="C199" t="str">
            <v>LIP</v>
          </cell>
          <cell r="V199" t="str">
            <v>厅门显示箱 Type-Optional Function-Display Board-Surface Finish</v>
          </cell>
        </row>
        <row r="200">
          <cell r="B200" t="str">
            <v>厅门显示箱</v>
          </cell>
          <cell r="C200" t="str">
            <v>LIP</v>
          </cell>
          <cell r="V200" t="str">
            <v>厅门显示箱 HD-30D Gong MS3-SG 304/HL</v>
          </cell>
        </row>
        <row r="201">
          <cell r="B201" t="str">
            <v>蒂森克虏伯标志</v>
          </cell>
          <cell r="C201" t="str">
            <v>TK Logo</v>
          </cell>
          <cell r="V201" t="str">
            <v>蒂森克虏伯标志 Size(mm)</v>
          </cell>
        </row>
        <row r="202">
          <cell r="B202" t="str">
            <v>蒂森克虏伯标志</v>
          </cell>
          <cell r="C202" t="str">
            <v>TK Logo</v>
          </cell>
          <cell r="V202" t="str">
            <v>蒂森克虏伯标志 30</v>
          </cell>
        </row>
        <row r="203">
          <cell r="B203" t="str">
            <v>按钮</v>
          </cell>
          <cell r="C203" t="str">
            <v>Pushbutton</v>
          </cell>
          <cell r="V203" t="str">
            <v>按钮 Type-Sparkle Color-Surface material</v>
          </cell>
        </row>
        <row r="204">
          <cell r="B204" t="str">
            <v>按钮</v>
          </cell>
          <cell r="C204" t="str">
            <v>Pushbutton</v>
          </cell>
          <cell r="V204" t="str">
            <v>按钮 AN170-R RD 304/HL</v>
          </cell>
        </row>
        <row r="205">
          <cell r="B205" t="str">
            <v>按钮</v>
          </cell>
          <cell r="C205" t="str">
            <v>Pushbutton</v>
          </cell>
          <cell r="V205" t="str">
            <v>按钮 AN170-W YE MI</v>
          </cell>
        </row>
        <row r="206">
          <cell r="B206" t="str">
            <v>召唤显示箱</v>
          </cell>
          <cell r="C206" t="str">
            <v>LIOP</v>
          </cell>
          <cell r="V206" t="str">
            <v>召唤显示箱 Type-Button-Direction-Optional Function-Display Board-Surface Finish-Parallel</v>
          </cell>
        </row>
        <row r="207">
          <cell r="B207" t="str">
            <v>召唤显示箱</v>
          </cell>
          <cell r="C207" t="str">
            <v>LIOP</v>
          </cell>
          <cell r="V207" t="str">
            <v>召唤显示箱 S001-10 AN170 U/D Key/G MS3-SG 304/HL S</v>
          </cell>
        </row>
        <row r="208">
          <cell r="B208" t="str">
            <v>召唤箱</v>
          </cell>
          <cell r="C208" t="str">
            <v>LOP</v>
          </cell>
          <cell r="V208" t="str">
            <v>召唤箱 Type-Button-Direction-Optional Function-Surface Finish-Parallel</v>
          </cell>
        </row>
        <row r="209">
          <cell r="B209" t="str">
            <v>召唤箱</v>
          </cell>
          <cell r="C209" t="str">
            <v>LOP</v>
          </cell>
          <cell r="V209" t="str">
            <v>召唤箱 SF001-10 AN170 U/D Key 304/HL P</v>
          </cell>
        </row>
        <row r="210">
          <cell r="B210" t="str">
            <v>弹簧</v>
          </cell>
          <cell r="C210" t="str">
            <v>Spring</v>
          </cell>
          <cell r="V210" t="str">
            <v>弹簧 Mid-Dia.(mm)-Coil-Dia.(mm)-Total Number of Coils-Effictive Coil-Elastic Coefficient(N/mm)-Rotation Dirction(Dextral or Levo)-Material</v>
          </cell>
        </row>
        <row r="211">
          <cell r="B211" t="str">
            <v>弹簧</v>
          </cell>
          <cell r="C211" t="str">
            <v>Spring</v>
          </cell>
          <cell r="V211" t="str">
            <v>弹簧 D60 d6 9 7 134 D 60Si2Mn</v>
          </cell>
        </row>
        <row r="212">
          <cell r="B212" t="str">
            <v>六角头螺栓</v>
          </cell>
          <cell r="C212" t="str">
            <v>Hexagon Head Bolt</v>
          </cell>
          <cell r="V212" t="str">
            <v>六角头螺栓 Spec.-Property Class-Standard Code-Surface Finish</v>
          </cell>
        </row>
        <row r="213">
          <cell r="B213" t="str">
            <v>六角头螺栓</v>
          </cell>
          <cell r="C213" t="str">
            <v>Hexagon Head Bolt</v>
          </cell>
          <cell r="V213" t="str">
            <v>六角头螺栓 M10*30 4.8 GB/T5783 W/Zn</v>
          </cell>
        </row>
        <row r="214">
          <cell r="B214" t="str">
            <v>六角头螺栓</v>
          </cell>
          <cell r="C214" t="str">
            <v>Hexagon Head Bolt</v>
          </cell>
          <cell r="V214" t="str">
            <v xml:space="preserve">六角头螺栓 M10*30 A2-50 GB/T5783 </v>
          </cell>
        </row>
        <row r="215">
          <cell r="B215" t="str">
            <v>双头螺柱</v>
          </cell>
          <cell r="C215" t="str">
            <v>Double End Stud</v>
          </cell>
          <cell r="V215" t="str">
            <v>双头螺柱 Spec.-Standard Code</v>
          </cell>
        </row>
        <row r="216">
          <cell r="B216" t="str">
            <v>双头螺柱</v>
          </cell>
          <cell r="C216" t="str">
            <v>Double End Stud</v>
          </cell>
          <cell r="V216" t="str">
            <v>双头螺柱 M8*70 GB/T 897</v>
          </cell>
        </row>
        <row r="217">
          <cell r="B217" t="str">
            <v>内六角螺钉</v>
          </cell>
          <cell r="C217" t="str">
            <v>Hexagon S. Screw</v>
          </cell>
          <cell r="V217" t="str">
            <v>内六角螺钉 Spec.-Property Class-Standard Code</v>
          </cell>
        </row>
        <row r="218">
          <cell r="B218" t="str">
            <v>内六角螺钉</v>
          </cell>
          <cell r="C218" t="str">
            <v>Hexagon S. Screw</v>
          </cell>
          <cell r="V218" t="str">
            <v>内六角螺钉 M4*40 8.8 GB/T70.1</v>
          </cell>
        </row>
        <row r="219">
          <cell r="B219" t="str">
            <v>六角螺母</v>
          </cell>
          <cell r="C219" t="str">
            <v>Hexagon Nut</v>
          </cell>
          <cell r="V219" t="str">
            <v>六角螺母 Spec.-Property Class-Standard CodeSurface Finish</v>
          </cell>
        </row>
        <row r="220">
          <cell r="B220" t="str">
            <v>六角螺母</v>
          </cell>
          <cell r="C220" t="str">
            <v>Hexagon Nut</v>
          </cell>
          <cell r="V220" t="str">
            <v>六角螺母 M12 8 GB/T6170W/Zn</v>
          </cell>
        </row>
        <row r="221">
          <cell r="B221" t="str">
            <v>六角螺母</v>
          </cell>
          <cell r="C221" t="str">
            <v>Hexagon Nut</v>
          </cell>
          <cell r="V221" t="str">
            <v>六角螺母 M12 04 GB/T6172.1</v>
          </cell>
        </row>
        <row r="222">
          <cell r="B222" t="str">
            <v>平垫圈</v>
          </cell>
          <cell r="C222" t="str">
            <v>Plain Washer</v>
          </cell>
          <cell r="V222" t="str">
            <v>平垫圈 Spec.-Hardness Class-Standard Code</v>
          </cell>
        </row>
        <row r="223">
          <cell r="B223" t="str">
            <v>平垫圈</v>
          </cell>
          <cell r="C223" t="str">
            <v>Plain Washer</v>
          </cell>
          <cell r="V223" t="str">
            <v>平垫圈 12 200HV GB/T97.1</v>
          </cell>
        </row>
        <row r="224">
          <cell r="B224" t="str">
            <v>弹簧垫圈</v>
          </cell>
          <cell r="C224" t="str">
            <v>Spring Washer</v>
          </cell>
          <cell r="V224" t="str">
            <v>弹簧垫圈 Spec.-Standard Code</v>
          </cell>
        </row>
        <row r="225">
          <cell r="B225" t="str">
            <v>弹簧垫圈</v>
          </cell>
          <cell r="C225" t="str">
            <v>Spring Washer</v>
          </cell>
          <cell r="V225" t="str">
            <v>弹簧垫圈 10 GB/T93</v>
          </cell>
        </row>
        <row r="226">
          <cell r="B226" t="str">
            <v>孔用弹性挡圈</v>
          </cell>
          <cell r="C226" t="str">
            <v>Circlip for Hole</v>
          </cell>
          <cell r="V226" t="str">
            <v>孔用弹性挡圈 Spec.-Standard Code</v>
          </cell>
        </row>
        <row r="227">
          <cell r="B227" t="str">
            <v>孔用弹性挡圈</v>
          </cell>
          <cell r="C227" t="str">
            <v>Circlip for Hole</v>
          </cell>
          <cell r="V227" t="str">
            <v>孔用弹性挡圈 30 GB/T893.2</v>
          </cell>
        </row>
        <row r="228">
          <cell r="B228" t="str">
            <v>轴用弹性挡圈</v>
          </cell>
          <cell r="C228" t="str">
            <v>Circlip for Shaft</v>
          </cell>
          <cell r="V228" t="str">
            <v>轴用弹性挡圈 Spec.-Standard Code</v>
          </cell>
        </row>
        <row r="229">
          <cell r="B229" t="str">
            <v>轴用弹性挡圈</v>
          </cell>
          <cell r="C229" t="str">
            <v>Circlip for Shaft</v>
          </cell>
          <cell r="V229" t="str">
            <v>轴用弹性挡圈 30 GB/T894.1</v>
          </cell>
        </row>
        <row r="230">
          <cell r="B230" t="str">
            <v>无头销轴</v>
          </cell>
          <cell r="C230" t="str">
            <v>Clevis Pin without Head</v>
          </cell>
          <cell r="V230" t="str">
            <v>无头销轴 Spec.-Standard Code</v>
          </cell>
        </row>
        <row r="231">
          <cell r="B231" t="str">
            <v>无头销轴</v>
          </cell>
          <cell r="C231" t="str">
            <v>Cleivs Pin without Head</v>
          </cell>
          <cell r="V231" t="str">
            <v>无头销轴 20*100*6.3*80 GB/T880</v>
          </cell>
        </row>
        <row r="232">
          <cell r="B232" t="str">
            <v>抽芯铆钉</v>
          </cell>
          <cell r="C232" t="str">
            <v>Break Mandrel Rivet</v>
          </cell>
          <cell r="V232" t="str">
            <v>抽芯铆钉 Spec.-Standard Code</v>
          </cell>
        </row>
        <row r="233">
          <cell r="B233" t="str">
            <v>抽芯铆钉</v>
          </cell>
          <cell r="C233" t="str">
            <v>Break Mandrel Rivet</v>
          </cell>
          <cell r="V233" t="str">
            <v>抽芯铆钉 5*10 GB/T12618</v>
          </cell>
        </row>
        <row r="234">
          <cell r="B234" t="str">
            <v>抽芯铆钉</v>
          </cell>
          <cell r="C234" t="str">
            <v>Break Mandrel Rivet</v>
          </cell>
          <cell r="V234" t="str">
            <v>抽芯铆钉 5*10 GB/T12617</v>
          </cell>
        </row>
        <row r="235">
          <cell r="B235" t="str">
            <v>钢丝绳夹</v>
          </cell>
          <cell r="C235" t="str">
            <v>Wire Rope Grip</v>
          </cell>
          <cell r="V235" t="str">
            <v>钢丝绳夹 Spec.-Standard Code</v>
          </cell>
        </row>
        <row r="236">
          <cell r="B236" t="str">
            <v>钢丝绳夹</v>
          </cell>
          <cell r="C236" t="str">
            <v>Wire Rope Grip</v>
          </cell>
          <cell r="V236" t="str">
            <v>钢丝绳夹 16 GB5976</v>
          </cell>
        </row>
        <row r="237">
          <cell r="B237" t="str">
            <v>深沟球轴承</v>
          </cell>
          <cell r="C237" t="str">
            <v xml:space="preserve"> D. G. Ball Bearing</v>
          </cell>
          <cell r="V237" t="str">
            <v>深沟球轴承 Type-Standard Code</v>
          </cell>
        </row>
        <row r="238">
          <cell r="B238" t="str">
            <v>深沟球轴承</v>
          </cell>
          <cell r="C238" t="str">
            <v xml:space="preserve"> D. G. Ball Bearing</v>
          </cell>
          <cell r="V238" t="str">
            <v>深沟球轴承 6100 GB/T276</v>
          </cell>
        </row>
        <row r="239">
          <cell r="B239" t="str">
            <v>热轧钢板</v>
          </cell>
          <cell r="C239" t="str">
            <v>H/R S. Plate</v>
          </cell>
          <cell r="V239" t="str">
            <v>热轧钢板 Size(mm)-Material-Standard Cord</v>
          </cell>
        </row>
        <row r="240">
          <cell r="B240" t="str">
            <v>热轧钢板</v>
          </cell>
          <cell r="C240" t="str">
            <v>H/R S. Plate</v>
          </cell>
          <cell r="V240" t="str">
            <v>热轧钢板 5.0*1500*3000 Q235A GB/T709</v>
          </cell>
        </row>
        <row r="241">
          <cell r="B241" t="str">
            <v>冷轧钢板</v>
          </cell>
          <cell r="C241" t="str">
            <v>C/R S.Plate</v>
          </cell>
          <cell r="V241" t="str">
            <v>冷轧钢板 Size(mm)-Material-Standard Cord</v>
          </cell>
        </row>
        <row r="242">
          <cell r="B242" t="str">
            <v>冷轧钢板</v>
          </cell>
          <cell r="C242" t="str">
            <v>C/R S.Plate</v>
          </cell>
          <cell r="V242" t="str">
            <v>冷轧钢板 1.0*1500*3000 Q235A GB/T708</v>
          </cell>
        </row>
        <row r="243">
          <cell r="B243" t="str">
            <v>金属软管</v>
          </cell>
          <cell r="C243" t="str">
            <v>Metallic Flexible hose</v>
          </cell>
          <cell r="V243" t="str">
            <v>金属软管 Spec.-Standard Cord</v>
          </cell>
        </row>
        <row r="244">
          <cell r="B244" t="str">
            <v>金属软管</v>
          </cell>
          <cell r="C244" t="str">
            <v>Metallic Flexible hose</v>
          </cell>
          <cell r="V244" t="str">
            <v>金属软管 10 YB/T5306</v>
          </cell>
        </row>
        <row r="245">
          <cell r="B245" t="str">
            <v>橡胶</v>
          </cell>
          <cell r="C245" t="str">
            <v>Rubber</v>
          </cell>
          <cell r="V245" t="str">
            <v xml:space="preserve">橡胶 </v>
          </cell>
        </row>
        <row r="246">
          <cell r="B246" t="str">
            <v>橡胶</v>
          </cell>
          <cell r="C246" t="str">
            <v>Rubber</v>
          </cell>
          <cell r="V246" t="str">
            <v xml:space="preserve">橡胶 </v>
          </cell>
        </row>
        <row r="247">
          <cell r="B247" t="str">
            <v>胶粘剂</v>
          </cell>
          <cell r="C247" t="str">
            <v>Adhesive</v>
          </cell>
          <cell r="V247" t="str">
            <v>胶粘剂 Type</v>
          </cell>
        </row>
        <row r="248">
          <cell r="B248" t="str">
            <v>胶粘剂</v>
          </cell>
          <cell r="C248" t="str">
            <v>Adhesive</v>
          </cell>
          <cell r="V248" t="str">
            <v>胶粘剂 ankar 801 strong glue</v>
          </cell>
        </row>
        <row r="249">
          <cell r="B249" t="str">
            <v>胶粘剂</v>
          </cell>
          <cell r="C249" t="str">
            <v>Adhesive</v>
          </cell>
          <cell r="V249" t="str">
            <v>胶粘剂 HY-901</v>
          </cell>
        </row>
        <row r="250">
          <cell r="B250" t="str">
            <v>密封胶</v>
          </cell>
          <cell r="C250" t="str">
            <v>Sealant</v>
          </cell>
          <cell r="V250" t="str">
            <v>密封胶 Type</v>
          </cell>
        </row>
        <row r="251">
          <cell r="B251" t="str">
            <v>密封胶</v>
          </cell>
          <cell r="C251" t="str">
            <v>Sealant</v>
          </cell>
          <cell r="V251" t="str">
            <v>密封胶 604</v>
          </cell>
        </row>
        <row r="252">
          <cell r="B252" t="str">
            <v>密封胶</v>
          </cell>
          <cell r="C252" t="str">
            <v>Sealant</v>
          </cell>
          <cell r="V252" t="str">
            <v>密封胶 HS-2</v>
          </cell>
        </row>
        <row r="253">
          <cell r="B253" t="str">
            <v>等边角钢</v>
          </cell>
          <cell r="C253" t="str">
            <v>E/S Angle Steel</v>
          </cell>
          <cell r="V253" t="str">
            <v>等边角钢 Spec.-Material-Standard Cord</v>
          </cell>
        </row>
        <row r="254">
          <cell r="B254" t="str">
            <v>等边角钢</v>
          </cell>
          <cell r="C254" t="str">
            <v>E/S Angle Steel</v>
          </cell>
          <cell r="V254" t="str">
            <v>等边角钢 125*125*10 Q235 GB/T9787</v>
          </cell>
        </row>
        <row r="255">
          <cell r="B255" t="str">
            <v>不等边角钢</v>
          </cell>
          <cell r="C255" t="str">
            <v>U/S Angle Steel</v>
          </cell>
          <cell r="V255" t="str">
            <v>不等边角钢 Spec.-Material-Standard Cord</v>
          </cell>
        </row>
        <row r="256">
          <cell r="B256" t="str">
            <v>不等边角钢</v>
          </cell>
          <cell r="C256" t="str">
            <v>U/S Angle Steel</v>
          </cell>
          <cell r="V256" t="str">
            <v>不等边角钢 80*50*8 Q235 GB/T9788</v>
          </cell>
        </row>
        <row r="257">
          <cell r="B257" t="str">
            <v>热轧槽钢</v>
          </cell>
          <cell r="C257" t="str">
            <v>H/R Channel Steel</v>
          </cell>
          <cell r="V257" t="str">
            <v>热轧槽钢 Spec.-Material-Standard Cord</v>
          </cell>
        </row>
        <row r="258">
          <cell r="B258" t="str">
            <v>热轧槽钢</v>
          </cell>
          <cell r="C258" t="str">
            <v>H/R Channel Steel</v>
          </cell>
          <cell r="V258" t="str">
            <v>热轧槽钢 14a Q235 GB/T707</v>
          </cell>
        </row>
        <row r="259">
          <cell r="B259" t="str">
            <v>导向轮支架</v>
          </cell>
          <cell r="C259" t="str">
            <v>Deflection Pulley Bracket</v>
          </cell>
          <cell r="V259" t="str">
            <v xml:space="preserve">导向轮支架 </v>
          </cell>
        </row>
        <row r="260">
          <cell r="B260" t="str">
            <v>导向轮支架</v>
          </cell>
          <cell r="C260" t="str">
            <v>Deflection Pulley Bracket</v>
          </cell>
          <cell r="V260" t="str">
            <v xml:space="preserve">导向轮支架 </v>
          </cell>
        </row>
        <row r="261">
          <cell r="B261" t="str">
            <v>导向轮支架组件</v>
          </cell>
          <cell r="C261" t="str">
            <v>Deflection Pulley Bracket Assy</v>
          </cell>
          <cell r="V261" t="str">
            <v xml:space="preserve">导向轮支架组件 </v>
          </cell>
        </row>
        <row r="262">
          <cell r="B262" t="str">
            <v>导向轮支架组件</v>
          </cell>
          <cell r="C262" t="str">
            <v>Deflection Pulley Bracket Assy</v>
          </cell>
          <cell r="V262" t="str">
            <v xml:space="preserve">导向轮支架组件 </v>
          </cell>
        </row>
        <row r="263">
          <cell r="B263" t="str">
            <v>导向轮</v>
          </cell>
          <cell r="C263" t="str">
            <v>Deflection Pulley</v>
          </cell>
          <cell r="V263" t="str">
            <v xml:space="preserve">导向轮 </v>
          </cell>
        </row>
        <row r="264">
          <cell r="B264" t="str">
            <v>导向轮</v>
          </cell>
          <cell r="C264" t="str">
            <v>Deflection Pulley</v>
          </cell>
          <cell r="V264" t="str">
            <v xml:space="preserve">导向轮 </v>
          </cell>
        </row>
        <row r="265">
          <cell r="B265" t="str">
            <v>扣紧螺母</v>
          </cell>
          <cell r="C265" t="str">
            <v>Tight Nut</v>
          </cell>
          <cell r="V265" t="str">
            <v>扣紧螺母 Spec.-Standard Code</v>
          </cell>
        </row>
        <row r="266">
          <cell r="B266" t="str">
            <v>扣紧螺母</v>
          </cell>
          <cell r="C266" t="str">
            <v>Tight Nut</v>
          </cell>
          <cell r="V266" t="str">
            <v>扣紧螺母 M12 GB/T805</v>
          </cell>
        </row>
        <row r="267">
          <cell r="B267" t="str">
            <v>方斜垫圈</v>
          </cell>
          <cell r="C267" t="str">
            <v>Square Taper Washer</v>
          </cell>
          <cell r="V267" t="str">
            <v>方斜垫圈 Spec.-Standard Code</v>
          </cell>
        </row>
        <row r="268">
          <cell r="B268" t="str">
            <v>方斜垫圈</v>
          </cell>
          <cell r="C268" t="str">
            <v>Square Taper Washer</v>
          </cell>
          <cell r="V268" t="str">
            <v>方斜垫圈 16 GB/T852</v>
          </cell>
        </row>
        <row r="269">
          <cell r="B269" t="str">
            <v>方斜垫圈</v>
          </cell>
          <cell r="C269" t="str">
            <v>Square Taper Washer</v>
          </cell>
          <cell r="V269" t="str">
            <v>方斜垫圈 16 GB/T853</v>
          </cell>
        </row>
        <row r="270">
          <cell r="B270" t="str">
            <v>轴套</v>
          </cell>
          <cell r="C270" t="str">
            <v>Bushing</v>
          </cell>
          <cell r="V270" t="str">
            <v>轴套 Inside Diameter (mm)-Series-Spec-Standard code</v>
          </cell>
        </row>
        <row r="271">
          <cell r="B271" t="str">
            <v>轴套</v>
          </cell>
          <cell r="C271" t="str">
            <v>Bushing</v>
          </cell>
          <cell r="V271" t="str">
            <v>轴套 30 W 34*20-Y1-C GB/T12613.2</v>
          </cell>
        </row>
        <row r="272">
          <cell r="B272" t="str">
            <v>自由绝缘保护套</v>
          </cell>
          <cell r="C272" t="str">
            <v>Free Insulation Protector</v>
          </cell>
          <cell r="V272" t="str">
            <v xml:space="preserve">自由绝缘保护套 </v>
          </cell>
        </row>
        <row r="273">
          <cell r="B273" t="str">
            <v>自由绝缘保护套</v>
          </cell>
          <cell r="C273" t="str">
            <v>Free Insulation Protector</v>
          </cell>
          <cell r="V273" t="str">
            <v xml:space="preserve">自由绝缘保护套 </v>
          </cell>
        </row>
        <row r="274">
          <cell r="B274" t="str">
            <v>轿壁连接件</v>
          </cell>
          <cell r="C274" t="str">
            <v>Car Panel Fastener</v>
          </cell>
          <cell r="V274" t="str">
            <v xml:space="preserve">轿壁连接件 </v>
          </cell>
        </row>
        <row r="275">
          <cell r="B275" t="str">
            <v>轿壁连接件</v>
          </cell>
          <cell r="C275" t="str">
            <v>Car Panel Fastener</v>
          </cell>
          <cell r="V275" t="str">
            <v xml:space="preserve">轿壁连接件 </v>
          </cell>
        </row>
        <row r="276">
          <cell r="B276" t="str">
            <v>门楣底板</v>
          </cell>
          <cell r="C276" t="str">
            <v>Lintel Soleplate</v>
          </cell>
          <cell r="V276" t="str">
            <v>门楣底板 Type-Door Clear Opening Width(mm)</v>
          </cell>
        </row>
        <row r="277">
          <cell r="B277" t="str">
            <v>门楣底板</v>
          </cell>
          <cell r="C277" t="str">
            <v>Lintel Soleplate</v>
          </cell>
          <cell r="V277" t="str">
            <v>门楣底板 S200 DW900</v>
          </cell>
        </row>
        <row r="278">
          <cell r="B278" t="str">
            <v>轿壁底板</v>
          </cell>
          <cell r="C278" t="str">
            <v>Car Panel Soleplate</v>
          </cell>
          <cell r="V278" t="str">
            <v xml:space="preserve">轿壁底板 </v>
          </cell>
        </row>
        <row r="279">
          <cell r="B279" t="str">
            <v>轿壁底板</v>
          </cell>
          <cell r="C279" t="str">
            <v>Car Panel Soleplate</v>
          </cell>
          <cell r="V279" t="str">
            <v xml:space="preserve">轿壁底板 </v>
          </cell>
        </row>
        <row r="280">
          <cell r="B280" t="str">
            <v>Z型橡胶密封圈</v>
          </cell>
          <cell r="C280" t="str">
            <v>Z-Rubber Ring</v>
          </cell>
          <cell r="V280" t="str">
            <v xml:space="preserve">Z型橡胶密封圈 </v>
          </cell>
        </row>
        <row r="281">
          <cell r="B281" t="str">
            <v>Z型橡胶密封圈</v>
          </cell>
          <cell r="C281" t="str">
            <v>Z-Rubber Ring</v>
          </cell>
          <cell r="V281" t="str">
            <v xml:space="preserve">Z型橡胶密封圈 </v>
          </cell>
        </row>
        <row r="282">
          <cell r="B282" t="str">
            <v>螺塞用密封垫圈</v>
          </cell>
          <cell r="C282" t="str">
            <v>Plug Screw Gasket</v>
          </cell>
          <cell r="V282" t="str">
            <v xml:space="preserve">螺塞用密封垫圈 </v>
          </cell>
        </row>
        <row r="283">
          <cell r="B283" t="str">
            <v>螺塞用密封垫圈</v>
          </cell>
          <cell r="C283" t="str">
            <v>Plug Screw Gasket</v>
          </cell>
          <cell r="V283" t="str">
            <v xml:space="preserve">螺塞用密封垫圈 </v>
          </cell>
        </row>
        <row r="284">
          <cell r="B284" t="str">
            <v>丁腈橡胶</v>
          </cell>
          <cell r="C284" t="str">
            <v>NBR</v>
          </cell>
          <cell r="V284" t="str">
            <v xml:space="preserve">丁腈橡胶 </v>
          </cell>
        </row>
        <row r="285">
          <cell r="B285" t="str">
            <v>丁腈橡胶</v>
          </cell>
          <cell r="C285" t="str">
            <v>NBR</v>
          </cell>
          <cell r="V285" t="str">
            <v xml:space="preserve">丁腈橡胶 </v>
          </cell>
        </row>
        <row r="286">
          <cell r="B286" t="str">
            <v>紫铜</v>
          </cell>
          <cell r="C286" t="str">
            <v>Red Copper</v>
          </cell>
          <cell r="V286" t="str">
            <v xml:space="preserve">紫铜 </v>
          </cell>
        </row>
        <row r="287">
          <cell r="B287" t="str">
            <v>紫铜</v>
          </cell>
          <cell r="C287" t="str">
            <v>Red Copper</v>
          </cell>
          <cell r="V287" t="str">
            <v xml:space="preserve">紫铜 </v>
          </cell>
        </row>
        <row r="288">
          <cell r="B288" t="str">
            <v>透光板</v>
          </cell>
          <cell r="C288" t="str">
            <v>Light Penetrated Plate</v>
          </cell>
          <cell r="V288" t="str">
            <v xml:space="preserve">透光板 </v>
          </cell>
        </row>
        <row r="289">
          <cell r="B289" t="str">
            <v>透光板</v>
          </cell>
          <cell r="C289" t="str">
            <v>Light Penetrated Plate</v>
          </cell>
          <cell r="V289" t="str">
            <v xml:space="preserve">透光板 </v>
          </cell>
        </row>
        <row r="290">
          <cell r="B290" t="str">
            <v>安装座</v>
          </cell>
          <cell r="C290" t="str">
            <v>Mounting Seat</v>
          </cell>
          <cell r="V290" t="str">
            <v xml:space="preserve">安装座 </v>
          </cell>
        </row>
        <row r="291">
          <cell r="B291" t="str">
            <v>安装座</v>
          </cell>
          <cell r="C291" t="str">
            <v>Mounting Seat</v>
          </cell>
          <cell r="V291" t="str">
            <v xml:space="preserve">安装座 </v>
          </cell>
        </row>
        <row r="292">
          <cell r="B292" t="str">
            <v>透光板组件</v>
          </cell>
          <cell r="C292" t="str">
            <v>Light Penetrated Plate Assy</v>
          </cell>
          <cell r="V292" t="str">
            <v xml:space="preserve">透光板组件 </v>
          </cell>
        </row>
        <row r="293">
          <cell r="B293" t="str">
            <v>透光板组件</v>
          </cell>
          <cell r="C293" t="str">
            <v>Light Penetrated Plate Assy</v>
          </cell>
          <cell r="V293" t="str">
            <v xml:space="preserve">透光板组件 </v>
          </cell>
        </row>
        <row r="294">
          <cell r="B294" t="str">
            <v>导风板</v>
          </cell>
          <cell r="C294" t="str">
            <v>Ventilation Plate</v>
          </cell>
          <cell r="V294" t="str">
            <v xml:space="preserve">导风板 </v>
          </cell>
        </row>
        <row r="295">
          <cell r="B295" t="str">
            <v>导风板</v>
          </cell>
          <cell r="C295" t="str">
            <v>Ventilation Plate</v>
          </cell>
          <cell r="V295" t="str">
            <v xml:space="preserve">导风板 </v>
          </cell>
        </row>
        <row r="296">
          <cell r="B296" t="str">
            <v>吊顶框架</v>
          </cell>
          <cell r="C296" t="str">
            <v>Suspended Ceiling Frame</v>
          </cell>
          <cell r="V296" t="str">
            <v xml:space="preserve">吊顶框架 </v>
          </cell>
        </row>
        <row r="297">
          <cell r="B297" t="str">
            <v>吊顶框架</v>
          </cell>
          <cell r="C297" t="str">
            <v>Suspended Ceiling Frame</v>
          </cell>
          <cell r="V297" t="str">
            <v xml:space="preserve">吊顶框架 </v>
          </cell>
        </row>
        <row r="298">
          <cell r="B298" t="str">
            <v>挂板</v>
          </cell>
          <cell r="C298" t="str">
            <v>Hanging Plate</v>
          </cell>
          <cell r="V298" t="str">
            <v xml:space="preserve">挂板 </v>
          </cell>
        </row>
        <row r="299">
          <cell r="B299" t="str">
            <v>挂板</v>
          </cell>
          <cell r="C299" t="str">
            <v>Hanging Plate</v>
          </cell>
          <cell r="V299" t="str">
            <v xml:space="preserve">挂板 </v>
          </cell>
        </row>
        <row r="300">
          <cell r="B300" t="str">
            <v>挂板组件</v>
          </cell>
          <cell r="C300" t="str">
            <v>Hanging Plate Assy</v>
          </cell>
          <cell r="V300" t="str">
            <v xml:space="preserve">挂板组件 </v>
          </cell>
        </row>
        <row r="301">
          <cell r="B301" t="str">
            <v>挂板组件</v>
          </cell>
          <cell r="C301" t="str">
            <v>Hanging Plate Assy</v>
          </cell>
          <cell r="V301" t="str">
            <v xml:space="preserve">挂板组件 </v>
          </cell>
        </row>
        <row r="302">
          <cell r="B302" t="str">
            <v>减震垫</v>
          </cell>
          <cell r="C302" t="str">
            <v>Vibrating Absorber</v>
          </cell>
          <cell r="V302" t="str">
            <v>减震垫 Size-Material</v>
          </cell>
        </row>
        <row r="303">
          <cell r="B303" t="str">
            <v>减震垫</v>
          </cell>
          <cell r="C303" t="str">
            <v>Vibrating Absorber</v>
          </cell>
          <cell r="V303" t="str">
            <v>减震垫 100*100*50 NR</v>
          </cell>
        </row>
        <row r="304">
          <cell r="B304" t="str">
            <v>轿顶焊接件</v>
          </cell>
          <cell r="C304" t="str">
            <v>Car Roof Weldment</v>
          </cell>
          <cell r="V304" t="str">
            <v>轿顶焊接件 Car  Width(mm)-Car Depth(mm)</v>
          </cell>
        </row>
        <row r="305">
          <cell r="B305" t="str">
            <v>轿顶焊接件</v>
          </cell>
          <cell r="C305" t="str">
            <v>Car Roof Weldment</v>
          </cell>
          <cell r="V305" t="str">
            <v>轿顶焊接件 CW1600 CD1400</v>
          </cell>
        </row>
        <row r="306">
          <cell r="B306" t="str">
            <v>轿底焊接件</v>
          </cell>
          <cell r="C306" t="str">
            <v>Car Floor Weldment</v>
          </cell>
          <cell r="V306" t="str">
            <v>轿底焊接件 Car  Width(mm)-Car Depth(mm)</v>
          </cell>
        </row>
        <row r="307">
          <cell r="B307" t="str">
            <v>轿底焊接件</v>
          </cell>
          <cell r="C307" t="str">
            <v>Car Floor Weldment</v>
          </cell>
          <cell r="V307" t="str">
            <v>轿底焊接件 CW1600 CD1400</v>
          </cell>
        </row>
        <row r="308">
          <cell r="B308" t="str">
            <v>圆木</v>
          </cell>
          <cell r="C308" t="str">
            <v>Log</v>
          </cell>
          <cell r="V308" t="str">
            <v xml:space="preserve">圆木 </v>
          </cell>
        </row>
        <row r="309">
          <cell r="B309" t="str">
            <v>圆木</v>
          </cell>
          <cell r="C309" t="str">
            <v>Log</v>
          </cell>
          <cell r="V309" t="str">
            <v xml:space="preserve">圆木 </v>
          </cell>
        </row>
        <row r="310">
          <cell r="B310" t="str">
            <v>扶手座</v>
          </cell>
          <cell r="C310" t="str">
            <v>Handrail Base</v>
          </cell>
          <cell r="V310" t="str">
            <v xml:space="preserve">扶手座 </v>
          </cell>
        </row>
        <row r="311">
          <cell r="B311" t="str">
            <v>扶手座</v>
          </cell>
          <cell r="C311" t="str">
            <v>Handrail Base</v>
          </cell>
          <cell r="V311" t="str">
            <v xml:space="preserve">扶手座 </v>
          </cell>
        </row>
        <row r="312">
          <cell r="B312" t="str">
            <v>钢管</v>
          </cell>
          <cell r="C312" t="str">
            <v xml:space="preserve">Steel Tube </v>
          </cell>
          <cell r="V312" t="str">
            <v xml:space="preserve">钢管 </v>
          </cell>
        </row>
        <row r="313">
          <cell r="B313" t="str">
            <v>钢管</v>
          </cell>
          <cell r="C313" t="str">
            <v xml:space="preserve">Steel Tube </v>
          </cell>
          <cell r="V313" t="str">
            <v xml:space="preserve">钢管 </v>
          </cell>
        </row>
        <row r="314">
          <cell r="B314" t="str">
            <v>轿顶线槽</v>
          </cell>
          <cell r="C314" t="str">
            <v>Car Roof Trunking</v>
          </cell>
          <cell r="V314" t="str">
            <v xml:space="preserve">轿顶线槽 </v>
          </cell>
        </row>
        <row r="315">
          <cell r="B315" t="str">
            <v>轿顶线槽</v>
          </cell>
          <cell r="C315" t="str">
            <v>Car Roof Trunking</v>
          </cell>
          <cell r="V315" t="str">
            <v xml:space="preserve">轿顶线槽 </v>
          </cell>
        </row>
        <row r="316">
          <cell r="B316" t="str">
            <v>吊顶面板</v>
          </cell>
          <cell r="C316" t="str">
            <v>Suspended Ceiling Faceplate</v>
          </cell>
          <cell r="V316" t="str">
            <v xml:space="preserve">吊顶面板 </v>
          </cell>
        </row>
        <row r="317">
          <cell r="B317" t="str">
            <v>吊顶面板</v>
          </cell>
          <cell r="C317" t="str">
            <v>Suspended Ceiling Faceplate</v>
          </cell>
          <cell r="V317" t="str">
            <v xml:space="preserve">吊顶面板 </v>
          </cell>
        </row>
        <row r="318">
          <cell r="B318" t="str">
            <v>吊顶支架</v>
          </cell>
          <cell r="C318" t="str">
            <v>Suspended Ceiling Bracket</v>
          </cell>
          <cell r="V318" t="str">
            <v xml:space="preserve">吊顶支架 </v>
          </cell>
        </row>
        <row r="319">
          <cell r="B319" t="str">
            <v>吊顶支架</v>
          </cell>
          <cell r="C319" t="str">
            <v>Suspended Ceiling Bracket</v>
          </cell>
          <cell r="V319" t="str">
            <v xml:space="preserve">吊顶支架 </v>
          </cell>
        </row>
        <row r="320">
          <cell r="B320" t="str">
            <v>轿顶板</v>
          </cell>
          <cell r="C320" t="str">
            <v>Car Roof Plate</v>
          </cell>
          <cell r="V320" t="str">
            <v xml:space="preserve">轿顶板 </v>
          </cell>
        </row>
        <row r="321">
          <cell r="B321" t="str">
            <v>轿顶板</v>
          </cell>
          <cell r="C321" t="str">
            <v>Car Roof Plate</v>
          </cell>
          <cell r="V321" t="str">
            <v xml:space="preserve">轿顶板 </v>
          </cell>
        </row>
        <row r="322">
          <cell r="B322" t="str">
            <v>吊顶边框</v>
          </cell>
          <cell r="C322" t="str">
            <v>Suspended Ceiling Side Frame</v>
          </cell>
          <cell r="V322" t="str">
            <v xml:space="preserve">吊顶边框 </v>
          </cell>
        </row>
        <row r="323">
          <cell r="B323" t="str">
            <v>吊顶边框</v>
          </cell>
          <cell r="C323" t="str">
            <v>Suspended Ceiling Side Frame</v>
          </cell>
          <cell r="V323" t="str">
            <v xml:space="preserve">吊顶边框 </v>
          </cell>
        </row>
        <row r="324">
          <cell r="B324" t="str">
            <v>嵌条</v>
          </cell>
          <cell r="C324" t="str">
            <v>Strip</v>
          </cell>
          <cell r="V324" t="str">
            <v xml:space="preserve">嵌条 </v>
          </cell>
        </row>
        <row r="325">
          <cell r="B325" t="str">
            <v>嵌条</v>
          </cell>
          <cell r="C325" t="str">
            <v>Strip</v>
          </cell>
          <cell r="V325" t="str">
            <v xml:space="preserve">嵌条 </v>
          </cell>
        </row>
        <row r="326">
          <cell r="B326" t="str">
            <v>镜框</v>
          </cell>
          <cell r="C326" t="str">
            <v>Mirror Frame</v>
          </cell>
          <cell r="V326" t="str">
            <v xml:space="preserve">镜框 </v>
          </cell>
        </row>
        <row r="327">
          <cell r="B327" t="str">
            <v>镜框</v>
          </cell>
          <cell r="C327" t="str">
            <v>Mirror Frame</v>
          </cell>
          <cell r="V327" t="str">
            <v xml:space="preserve">镜框 </v>
          </cell>
        </row>
        <row r="328">
          <cell r="B328" t="str">
            <v>镜框组件</v>
          </cell>
          <cell r="C328" t="str">
            <v>Mirror Frame Assy</v>
          </cell>
          <cell r="V328" t="str">
            <v xml:space="preserve">镜框组件 </v>
          </cell>
        </row>
        <row r="329">
          <cell r="B329" t="str">
            <v>镜框组件</v>
          </cell>
          <cell r="C329" t="str">
            <v>Mirror Frame Assy</v>
          </cell>
          <cell r="V329" t="str">
            <v xml:space="preserve">镜框组件 </v>
          </cell>
        </row>
        <row r="330">
          <cell r="B330" t="str">
            <v>扶手端头</v>
          </cell>
          <cell r="C330" t="str">
            <v>Handrail End</v>
          </cell>
          <cell r="V330" t="str">
            <v xml:space="preserve">扶手端头 </v>
          </cell>
        </row>
        <row r="331">
          <cell r="B331" t="str">
            <v>扶手端头</v>
          </cell>
          <cell r="C331" t="str">
            <v>Handrail End</v>
          </cell>
          <cell r="V331" t="str">
            <v xml:space="preserve">扶手端头 </v>
          </cell>
        </row>
        <row r="332">
          <cell r="B332" t="str">
            <v>轿顶减震装置</v>
          </cell>
          <cell r="C332" t="str">
            <v xml:space="preserve">Car Roof Vibrating Absorber </v>
          </cell>
          <cell r="V332" t="str">
            <v xml:space="preserve">轿顶减震装置 </v>
          </cell>
        </row>
        <row r="333">
          <cell r="B333" t="str">
            <v>轿顶减震装置</v>
          </cell>
          <cell r="C333" t="str">
            <v xml:space="preserve">Car Roof Vibrating Absorber </v>
          </cell>
          <cell r="V333" t="str">
            <v xml:space="preserve">轿顶减震装置 </v>
          </cell>
        </row>
        <row r="334">
          <cell r="B334" t="str">
            <v>加强板</v>
          </cell>
          <cell r="C334" t="str">
            <v>Reinforcingplate</v>
          </cell>
          <cell r="V334" t="str">
            <v xml:space="preserve">加强板 </v>
          </cell>
        </row>
        <row r="335">
          <cell r="B335" t="str">
            <v>加强板</v>
          </cell>
          <cell r="C335" t="str">
            <v>Reinforcingplate</v>
          </cell>
          <cell r="V335" t="str">
            <v xml:space="preserve">加强板 </v>
          </cell>
        </row>
        <row r="336">
          <cell r="B336" t="str">
            <v>螺杆</v>
          </cell>
          <cell r="C336" t="str">
            <v>Threaded Rod</v>
          </cell>
          <cell r="V336" t="str">
            <v>螺杆 Spec-Property Class-Standard Code</v>
          </cell>
        </row>
        <row r="337">
          <cell r="B337" t="str">
            <v>螺杆</v>
          </cell>
          <cell r="C337" t="str">
            <v>Threaded Rod</v>
          </cell>
          <cell r="V337" t="str">
            <v>螺杆 M10*1000 4.8 GB/T15389</v>
          </cell>
        </row>
        <row r="338">
          <cell r="B338" t="str">
            <v>限位件</v>
          </cell>
          <cell r="C338" t="str">
            <v>Limit Set</v>
          </cell>
          <cell r="V338" t="str">
            <v xml:space="preserve">限位件 </v>
          </cell>
        </row>
        <row r="339">
          <cell r="B339" t="str">
            <v>限位件</v>
          </cell>
          <cell r="C339" t="str">
            <v>Limit Set</v>
          </cell>
          <cell r="V339" t="str">
            <v xml:space="preserve">限位件 </v>
          </cell>
        </row>
        <row r="340">
          <cell r="B340" t="str">
            <v>曳引轮防护罩</v>
          </cell>
          <cell r="C340" t="str">
            <v>Traction Pulley Cover</v>
          </cell>
          <cell r="V340" t="str">
            <v xml:space="preserve">曳引轮防护罩 </v>
          </cell>
        </row>
        <row r="341">
          <cell r="B341" t="str">
            <v>曳引轮防护罩</v>
          </cell>
          <cell r="C341" t="str">
            <v>Traction Pulley Cover</v>
          </cell>
          <cell r="V341" t="str">
            <v xml:space="preserve">曳引轮防护罩 </v>
          </cell>
        </row>
        <row r="342">
          <cell r="B342" t="str">
            <v>过线保护</v>
          </cell>
          <cell r="C342" t="str">
            <v>Wire Cross Protection</v>
          </cell>
          <cell r="V342" t="str">
            <v xml:space="preserve">过线保护 </v>
          </cell>
        </row>
        <row r="343">
          <cell r="B343" t="str">
            <v>过线保护</v>
          </cell>
          <cell r="C343" t="str">
            <v>Wire Cross Protection</v>
          </cell>
          <cell r="V343" t="str">
            <v xml:space="preserve">过线保护 </v>
          </cell>
        </row>
        <row r="344">
          <cell r="B344" t="str">
            <v>框架纵梁</v>
          </cell>
          <cell r="C344" t="str">
            <v>Frame Longeron</v>
          </cell>
          <cell r="V344" t="str">
            <v xml:space="preserve">框架纵梁 </v>
          </cell>
        </row>
        <row r="345">
          <cell r="B345" t="str">
            <v>框架纵梁</v>
          </cell>
          <cell r="C345" t="str">
            <v>Frame Longeron</v>
          </cell>
          <cell r="V345" t="str">
            <v xml:space="preserve">框架纵梁 </v>
          </cell>
        </row>
        <row r="346">
          <cell r="B346" t="str">
            <v>大垫圈</v>
          </cell>
          <cell r="C346" t="str">
            <v>Large Washer</v>
          </cell>
          <cell r="V346" t="str">
            <v>大垫圈 Spec-Hardness Class-Standard Code</v>
          </cell>
        </row>
        <row r="347">
          <cell r="B347" t="str">
            <v>大垫圈</v>
          </cell>
          <cell r="C347" t="str">
            <v>Large Washer</v>
          </cell>
          <cell r="V347" t="str">
            <v>大垫圈 8 200HV GB/T96.1</v>
          </cell>
        </row>
        <row r="348">
          <cell r="B348" t="str">
            <v>大垫圈</v>
          </cell>
          <cell r="C348" t="str">
            <v>Large Washer</v>
          </cell>
          <cell r="V348" t="str">
            <v>大垫圈 8 100HV GB/T96.2</v>
          </cell>
        </row>
        <row r="349">
          <cell r="B349" t="str">
            <v>焊接六角螺母</v>
          </cell>
          <cell r="C349" t="str">
            <v>Hexagon Weld Nut</v>
          </cell>
          <cell r="V349" t="str">
            <v>焊接六角螺母 Spec-Standard Code</v>
          </cell>
        </row>
        <row r="350">
          <cell r="B350" t="str">
            <v>焊接六角螺母</v>
          </cell>
          <cell r="C350" t="str">
            <v>Hexagon Weld Nut</v>
          </cell>
          <cell r="V350" t="str">
            <v>焊接六角螺母 M10 GB/T13681</v>
          </cell>
        </row>
        <row r="351">
          <cell r="B351" t="str">
            <v>紧定螺钉</v>
          </cell>
          <cell r="C351" t="str">
            <v>Set Screw</v>
          </cell>
          <cell r="V351" t="str">
            <v>紧定螺钉 Spec-Standard Code</v>
          </cell>
        </row>
        <row r="352">
          <cell r="B352" t="str">
            <v>紧定螺钉</v>
          </cell>
          <cell r="C352" t="str">
            <v>Set Screw</v>
          </cell>
          <cell r="V352" t="str">
            <v>紧定螺钉 M6*12 GB/T78</v>
          </cell>
        </row>
        <row r="353">
          <cell r="B353" t="str">
            <v>沉头螺钉</v>
          </cell>
          <cell r="C353" t="str">
            <v>Countersunk Screw</v>
          </cell>
          <cell r="V353" t="str">
            <v>沉头螺钉 Spec-Property Class-Standard Code</v>
          </cell>
        </row>
        <row r="354">
          <cell r="B354" t="str">
            <v>沉头螺钉</v>
          </cell>
          <cell r="C354" t="str">
            <v>Countersunk Screw</v>
          </cell>
          <cell r="V354" t="str">
            <v>沉头螺钉 M6*12 4.8 GB/T819.1</v>
          </cell>
        </row>
        <row r="355">
          <cell r="B355" t="str">
            <v>沉头螺钉</v>
          </cell>
          <cell r="C355" t="str">
            <v>Countersunk Screw</v>
          </cell>
          <cell r="V355" t="str">
            <v>沉头螺钉 M6*12 A2-70 GB/T819.2</v>
          </cell>
        </row>
        <row r="356">
          <cell r="B356" t="str">
            <v>隔音橡胶</v>
          </cell>
          <cell r="C356" t="str">
            <v>Soundproof Rubber</v>
          </cell>
          <cell r="V356" t="str">
            <v>隔音橡胶 Thickness(mm)</v>
          </cell>
        </row>
        <row r="357">
          <cell r="B357" t="str">
            <v>隔音橡胶</v>
          </cell>
          <cell r="C357" t="str">
            <v>Soundproof Rubber</v>
          </cell>
          <cell r="V357" t="str">
            <v>隔音橡胶 t5</v>
          </cell>
        </row>
        <row r="358">
          <cell r="B358" t="str">
            <v>减震橡胶</v>
          </cell>
          <cell r="C358" t="str">
            <v>Damping Rubber</v>
          </cell>
          <cell r="V358" t="str">
            <v>减震橡胶 Size</v>
          </cell>
        </row>
        <row r="359">
          <cell r="B359" t="str">
            <v>减震橡胶</v>
          </cell>
          <cell r="C359" t="str">
            <v>Damping Rubber</v>
          </cell>
          <cell r="V359" t="str">
            <v>减震橡胶 D125*35</v>
          </cell>
        </row>
        <row r="360">
          <cell r="B360" t="str">
            <v>缓冲器安装辅板</v>
          </cell>
          <cell r="C360" t="str">
            <v>Buffer Fixing Aid</v>
          </cell>
          <cell r="V360" t="str">
            <v>缓冲器安装辅板 Buffer Type</v>
          </cell>
        </row>
        <row r="361">
          <cell r="B361" t="str">
            <v>缓冲器安装辅板</v>
          </cell>
          <cell r="C361" t="str">
            <v>Buffer Fixing Aid</v>
          </cell>
          <cell r="V361" t="str">
            <v>缓冲器安装辅板 YH4/270</v>
          </cell>
        </row>
        <row r="362">
          <cell r="B362" t="str">
            <v>导轨附件</v>
          </cell>
          <cell r="C362" t="str">
            <v>Guide Rail Accessories</v>
          </cell>
          <cell r="V362" t="str">
            <v>导轨附件 Guide Rail Type</v>
          </cell>
        </row>
        <row r="363">
          <cell r="B363" t="str">
            <v>导轨附件</v>
          </cell>
          <cell r="C363" t="str">
            <v>Guide Rail Accessories</v>
          </cell>
          <cell r="V363" t="str">
            <v>导轨附件 T75/B</v>
          </cell>
        </row>
        <row r="364">
          <cell r="B364" t="str">
            <v>吊顶面板组件</v>
          </cell>
          <cell r="C364" t="str">
            <v>Suspended Ceiling Faceplate Assy</v>
          </cell>
          <cell r="V364" t="str">
            <v xml:space="preserve">吊顶面板组件 </v>
          </cell>
        </row>
        <row r="365">
          <cell r="B365" t="str">
            <v>吊顶面板组件</v>
          </cell>
          <cell r="C365" t="str">
            <v>Suspended Ceiling Faceplate Assy</v>
          </cell>
          <cell r="V365" t="str">
            <v xml:space="preserve">吊顶面板组件 </v>
          </cell>
        </row>
        <row r="366">
          <cell r="B366" t="str">
            <v>自攻螺钉</v>
          </cell>
          <cell r="C366" t="str">
            <v>Tapping Screw</v>
          </cell>
          <cell r="V366" t="str">
            <v>自攻螺钉 Spec-Standard Cord</v>
          </cell>
        </row>
        <row r="367">
          <cell r="B367" t="str">
            <v>自攻螺钉</v>
          </cell>
          <cell r="C367" t="str">
            <v>Tapping Screw</v>
          </cell>
          <cell r="V367" t="str">
            <v>自攻螺钉 ST3.5*16 GB/T845</v>
          </cell>
        </row>
        <row r="368">
          <cell r="B368" t="str">
            <v>连接螺栓</v>
          </cell>
          <cell r="C368" t="str">
            <v>Connection Bolt</v>
          </cell>
          <cell r="V368" t="str">
            <v xml:space="preserve">连接螺栓 </v>
          </cell>
        </row>
        <row r="369">
          <cell r="B369" t="str">
            <v>连接螺栓</v>
          </cell>
          <cell r="C369" t="str">
            <v>Connection Bolt</v>
          </cell>
          <cell r="V369" t="str">
            <v xml:space="preserve">连接螺栓 </v>
          </cell>
        </row>
        <row r="370">
          <cell r="B370" t="str">
            <v>固定支架</v>
          </cell>
          <cell r="C370" t="str">
            <v>Fixing Bracket</v>
          </cell>
          <cell r="V370" t="str">
            <v xml:space="preserve">固定支架 </v>
          </cell>
        </row>
        <row r="371">
          <cell r="B371" t="str">
            <v>固定支架</v>
          </cell>
          <cell r="C371" t="str">
            <v>Fixing Bracket</v>
          </cell>
          <cell r="V371" t="str">
            <v xml:space="preserve">固定支架 </v>
          </cell>
        </row>
        <row r="372">
          <cell r="B372" t="str">
            <v>护栏支架</v>
          </cell>
          <cell r="C372" t="str">
            <v>Balustrade Bracket</v>
          </cell>
          <cell r="V372" t="str">
            <v>护栏支架 Height(mm)</v>
          </cell>
        </row>
        <row r="373">
          <cell r="B373" t="str">
            <v>护栏支架</v>
          </cell>
          <cell r="C373" t="str">
            <v>Balustrade Bracket</v>
          </cell>
          <cell r="V373" t="str">
            <v>护栏支架 H750</v>
          </cell>
        </row>
        <row r="374">
          <cell r="B374" t="str">
            <v>平键</v>
          </cell>
          <cell r="C374" t="str">
            <v>Flat Key</v>
          </cell>
          <cell r="V374" t="str">
            <v>平键 Spec-Standard Code</v>
          </cell>
        </row>
        <row r="375">
          <cell r="B375" t="str">
            <v>平键</v>
          </cell>
          <cell r="C375" t="str">
            <v>Flat Key</v>
          </cell>
          <cell r="V375" t="str">
            <v>平键 14*10*80 GB/T1096</v>
          </cell>
        </row>
        <row r="376">
          <cell r="B376" t="str">
            <v>球面滚子轴承</v>
          </cell>
          <cell r="C376" t="str">
            <v>S. R. Bearing</v>
          </cell>
          <cell r="V376" t="str">
            <v>球面滚子轴承 Type-Manufacture</v>
          </cell>
        </row>
        <row r="377">
          <cell r="B377" t="str">
            <v>球面滚子轴承</v>
          </cell>
          <cell r="C377" t="str">
            <v>S. R. Bearing</v>
          </cell>
          <cell r="V377" t="str">
            <v>球面滚子轴承 23220CA/W33R TWB</v>
          </cell>
        </row>
        <row r="378">
          <cell r="B378" t="str">
            <v>上行保护装置铭牌</v>
          </cell>
          <cell r="C378" t="str">
            <v>Ascending  Protection Means Nameplate</v>
          </cell>
          <cell r="V378" t="str">
            <v>上行保护装置铭牌 Language</v>
          </cell>
        </row>
        <row r="379">
          <cell r="B379" t="str">
            <v>上行保护装置铭牌</v>
          </cell>
          <cell r="C379" t="str">
            <v>Ascending  Protection Means Nameplate</v>
          </cell>
          <cell r="V379" t="str">
            <v>上行保护装置铭牌 EN</v>
          </cell>
        </row>
        <row r="380">
          <cell r="B380" t="str">
            <v>连接杆</v>
          </cell>
          <cell r="C380" t="str">
            <v>Connection Rod</v>
          </cell>
          <cell r="V380" t="str">
            <v xml:space="preserve">连接杆 </v>
          </cell>
        </row>
        <row r="381">
          <cell r="B381" t="str">
            <v>连接杆</v>
          </cell>
          <cell r="C381" t="str">
            <v>Connection Rod</v>
          </cell>
          <cell r="V381" t="str">
            <v xml:space="preserve">连接杆 </v>
          </cell>
        </row>
        <row r="382">
          <cell r="B382" t="str">
            <v>方颈螺栓</v>
          </cell>
          <cell r="C382" t="str">
            <v>Square Neck Bolt</v>
          </cell>
          <cell r="V382" t="str">
            <v>方颈螺栓 Spec-Property Class-Standard Code</v>
          </cell>
        </row>
        <row r="383">
          <cell r="B383" t="str">
            <v>方颈螺栓</v>
          </cell>
          <cell r="C383" t="str">
            <v>Square Neck Bolt</v>
          </cell>
          <cell r="V383" t="str">
            <v>方颈螺栓 M12*80 8.8 GB/T14</v>
          </cell>
        </row>
        <row r="384">
          <cell r="B384" t="str">
            <v>铰链</v>
          </cell>
          <cell r="C384" t="str">
            <v>General Hinge</v>
          </cell>
          <cell r="V384" t="str">
            <v>铰链 Spec-Standard Code</v>
          </cell>
        </row>
        <row r="385">
          <cell r="B385" t="str">
            <v>铰链</v>
          </cell>
          <cell r="C385" t="str">
            <v>General Hinge</v>
          </cell>
          <cell r="V385" t="str">
            <v>铰链 25*35 QB/T 3874</v>
          </cell>
        </row>
        <row r="386">
          <cell r="B386" t="str">
            <v>盘头螺钉</v>
          </cell>
          <cell r="C386" t="str">
            <v>Pan Head Screw</v>
          </cell>
          <cell r="V386" t="str">
            <v>盘头螺钉 Spec-Property Class-Standard Code</v>
          </cell>
        </row>
        <row r="387">
          <cell r="B387" t="str">
            <v>盘头螺钉</v>
          </cell>
          <cell r="C387" t="str">
            <v>Pan Head Screw</v>
          </cell>
          <cell r="V387" t="str">
            <v>盘头螺钉 M5*20 4.8 GB/T818</v>
          </cell>
        </row>
        <row r="388">
          <cell r="B388" t="str">
            <v>安全窗</v>
          </cell>
          <cell r="C388" t="str">
            <v>Emergency Trap Door</v>
          </cell>
          <cell r="V388" t="str">
            <v xml:space="preserve">安全窗 </v>
          </cell>
        </row>
        <row r="389">
          <cell r="B389" t="str">
            <v>安全窗</v>
          </cell>
          <cell r="C389" t="str">
            <v>Emergency Trap Door</v>
          </cell>
          <cell r="V389" t="str">
            <v xml:space="preserve">安全窗 </v>
          </cell>
        </row>
        <row r="390">
          <cell r="B390" t="str">
            <v>盖板</v>
          </cell>
          <cell r="C390" t="str">
            <v>Cover Plate</v>
          </cell>
          <cell r="V390" t="str">
            <v xml:space="preserve">盖板 </v>
          </cell>
        </row>
        <row r="391">
          <cell r="B391" t="str">
            <v>盖板</v>
          </cell>
          <cell r="C391" t="str">
            <v>Cover Plate</v>
          </cell>
          <cell r="V391" t="str">
            <v xml:space="preserve">盖板 </v>
          </cell>
        </row>
        <row r="392">
          <cell r="B392" t="str">
            <v>盖板组件</v>
          </cell>
          <cell r="C392" t="str">
            <v>Cover Plate Assy</v>
          </cell>
          <cell r="V392" t="str">
            <v xml:space="preserve">盖板组件 </v>
          </cell>
        </row>
        <row r="393">
          <cell r="B393" t="str">
            <v>盖板组件</v>
          </cell>
          <cell r="C393" t="str">
            <v>Cover Plate Assy</v>
          </cell>
          <cell r="V393" t="str">
            <v xml:space="preserve">盖板组件 </v>
          </cell>
        </row>
        <row r="394">
          <cell r="B394" t="str">
            <v>安全开关组件</v>
          </cell>
          <cell r="C394" t="str">
            <v>Safety Switch Assy</v>
          </cell>
          <cell r="V394" t="str">
            <v>安全开关组件 Switch Type</v>
          </cell>
        </row>
        <row r="395">
          <cell r="B395" t="str">
            <v>安全开关组件</v>
          </cell>
          <cell r="C395" t="str">
            <v>Safety Switch Assy</v>
          </cell>
          <cell r="V395" t="str">
            <v>安全开关组件  Z1R236-11zr-1816</v>
          </cell>
        </row>
        <row r="396">
          <cell r="B396" t="str">
            <v>锁紧垫圈</v>
          </cell>
          <cell r="C396" t="str">
            <v>Lock Washer</v>
          </cell>
          <cell r="V396" t="str">
            <v>锁紧垫圈 Spec-Standard Code</v>
          </cell>
        </row>
        <row r="397">
          <cell r="B397" t="str">
            <v>锁紧垫圈</v>
          </cell>
          <cell r="C397" t="str">
            <v>Lock Washer</v>
          </cell>
          <cell r="V397" t="str">
            <v>锁紧垫圈 6 GB/T862.1</v>
          </cell>
        </row>
        <row r="398">
          <cell r="B398" t="str">
            <v>制动器</v>
          </cell>
          <cell r="C398" t="str">
            <v>Brake</v>
          </cell>
          <cell r="V398" t="str">
            <v>制动器 Type-Brake Torque(N.m)</v>
          </cell>
        </row>
        <row r="399">
          <cell r="B399" t="str">
            <v>制动器</v>
          </cell>
          <cell r="C399" t="str">
            <v>Brake</v>
          </cell>
          <cell r="V399" t="str">
            <v>制动器 DMB500-1500A-1500</v>
          </cell>
        </row>
        <row r="400">
          <cell r="B400" t="str">
            <v>制动器</v>
          </cell>
          <cell r="C400" t="str">
            <v>Brake</v>
          </cell>
          <cell r="V400" t="str">
            <v>制动器 RSO 500/896.032.30 S 1600</v>
          </cell>
        </row>
        <row r="401">
          <cell r="B401" t="str">
            <v>制动片</v>
          </cell>
          <cell r="C401" t="str">
            <v>Lining</v>
          </cell>
          <cell r="V401" t="str">
            <v>制动片 Material-Brake Dia.(mm)-Width(mm)</v>
          </cell>
        </row>
        <row r="402">
          <cell r="B402" t="str">
            <v>制动片</v>
          </cell>
          <cell r="C402" t="str">
            <v>Lining</v>
          </cell>
          <cell r="V402" t="str">
            <v>制动片 Carbon Fiber Composite D500 70</v>
          </cell>
        </row>
        <row r="403">
          <cell r="B403" t="str">
            <v>制动臂</v>
          </cell>
          <cell r="C403" t="str">
            <v>Brake Arm</v>
          </cell>
          <cell r="V403" t="str">
            <v>制动臂 Material</v>
          </cell>
        </row>
        <row r="404">
          <cell r="B404" t="str">
            <v>制动臂</v>
          </cell>
          <cell r="C404" t="str">
            <v>Brake Arm</v>
          </cell>
          <cell r="V404" t="str">
            <v>制动臂 QT450</v>
          </cell>
        </row>
        <row r="405">
          <cell r="B405" t="str">
            <v>机座</v>
          </cell>
          <cell r="C405" t="str">
            <v>Housing</v>
          </cell>
          <cell r="V405" t="str">
            <v>机座 Material-Apply for</v>
          </cell>
        </row>
        <row r="406">
          <cell r="B406" t="str">
            <v>机座</v>
          </cell>
          <cell r="C406" t="str">
            <v>Housing</v>
          </cell>
          <cell r="V406" t="str">
            <v>机座 HT250 PMS280</v>
          </cell>
        </row>
        <row r="407">
          <cell r="B407" t="str">
            <v>线盒盖</v>
          </cell>
          <cell r="C407" t="str">
            <v>Box Cover</v>
          </cell>
          <cell r="V407" t="str">
            <v>线盒盖 Material</v>
          </cell>
        </row>
        <row r="408">
          <cell r="B408" t="str">
            <v>线盒盖</v>
          </cell>
          <cell r="C408" t="str">
            <v>Box Cover</v>
          </cell>
          <cell r="V408" t="str">
            <v>线盒盖 Q235A</v>
          </cell>
        </row>
        <row r="409">
          <cell r="B409" t="str">
            <v>前端外压盖</v>
          </cell>
          <cell r="C409" t="str">
            <v>Front-End Outer Gland</v>
          </cell>
          <cell r="V409" t="str">
            <v>前端外压盖 Material-Apply for</v>
          </cell>
        </row>
        <row r="410">
          <cell r="B410" t="str">
            <v>前端外压盖</v>
          </cell>
          <cell r="C410" t="str">
            <v>Front-End Outer Gland</v>
          </cell>
          <cell r="V410" t="str">
            <v>前端外压盖 HT250 PMS280</v>
          </cell>
        </row>
        <row r="411">
          <cell r="B411" t="str">
            <v>后端外压盖</v>
          </cell>
          <cell r="C411" t="str">
            <v>Back-End Outer Gland</v>
          </cell>
          <cell r="V411" t="str">
            <v>后端外压盖 Material-Apply for</v>
          </cell>
        </row>
        <row r="412">
          <cell r="B412" t="str">
            <v>后端外压盖</v>
          </cell>
          <cell r="C412" t="str">
            <v>Back-End Outer Gland</v>
          </cell>
          <cell r="V412" t="str">
            <v>后端外压盖 HT250 PMS280</v>
          </cell>
        </row>
        <row r="413">
          <cell r="B413" t="str">
            <v>制动臂销轴</v>
          </cell>
          <cell r="C413" t="str">
            <v>Brake Arm Pin</v>
          </cell>
          <cell r="V413" t="str">
            <v>制动臂销轴 Material</v>
          </cell>
        </row>
        <row r="414">
          <cell r="B414" t="str">
            <v>制动臂销轴</v>
          </cell>
          <cell r="C414" t="str">
            <v>Brake Arm Pin</v>
          </cell>
          <cell r="V414" t="str">
            <v>制动臂销轴 45</v>
          </cell>
        </row>
        <row r="415">
          <cell r="B415" t="str">
            <v>后端盖</v>
          </cell>
          <cell r="C415" t="str">
            <v>Back-End Shield</v>
          </cell>
          <cell r="V415" t="str">
            <v xml:space="preserve">后端盖 </v>
          </cell>
        </row>
        <row r="416">
          <cell r="B416" t="str">
            <v>后端盖</v>
          </cell>
          <cell r="C416" t="str">
            <v>Back-End Shield</v>
          </cell>
          <cell r="V416" t="str">
            <v xml:space="preserve">后端盖 </v>
          </cell>
        </row>
        <row r="417">
          <cell r="B417" t="str">
            <v>前端盖</v>
          </cell>
          <cell r="C417" t="str">
            <v>Front-End Shield</v>
          </cell>
          <cell r="V417" t="str">
            <v xml:space="preserve">前端盖 </v>
          </cell>
        </row>
        <row r="418">
          <cell r="B418" t="str">
            <v>前端盖</v>
          </cell>
          <cell r="C418" t="str">
            <v>Front-End Shield</v>
          </cell>
          <cell r="V418" t="str">
            <v xml:space="preserve">前端盖 </v>
          </cell>
        </row>
        <row r="419">
          <cell r="B419" t="str">
            <v>接线标识</v>
          </cell>
          <cell r="C419" t="str">
            <v>Connection Label</v>
          </cell>
          <cell r="V419" t="str">
            <v xml:space="preserve">接线标识 </v>
          </cell>
        </row>
        <row r="420">
          <cell r="B420" t="str">
            <v>接线标识</v>
          </cell>
          <cell r="C420" t="str">
            <v>Connection Label</v>
          </cell>
          <cell r="V420" t="str">
            <v xml:space="preserve">接线标识 </v>
          </cell>
        </row>
        <row r="421">
          <cell r="B421" t="str">
            <v>编码器罩</v>
          </cell>
          <cell r="C421" t="str">
            <v>Encoder Cover</v>
          </cell>
          <cell r="V421" t="str">
            <v>编码器罩 Material-Apply for</v>
          </cell>
        </row>
        <row r="422">
          <cell r="B422" t="str">
            <v>编码器罩</v>
          </cell>
          <cell r="C422" t="str">
            <v>Encoder Cover</v>
          </cell>
          <cell r="V422" t="str">
            <v>编码器罩 ABS plastics ECN413</v>
          </cell>
        </row>
        <row r="423">
          <cell r="B423" t="str">
            <v>转子</v>
          </cell>
          <cell r="C423" t="str">
            <v>Rotor</v>
          </cell>
          <cell r="V423" t="str">
            <v>转子 Length(mm)-Dia.(mm)</v>
          </cell>
        </row>
        <row r="424">
          <cell r="B424" t="str">
            <v>转子</v>
          </cell>
          <cell r="C424" t="str">
            <v>Rotor</v>
          </cell>
          <cell r="V424" t="str">
            <v>转子 L250 D258.2</v>
          </cell>
        </row>
        <row r="425">
          <cell r="B425" t="str">
            <v>磁钢</v>
          </cell>
          <cell r="C425" t="str">
            <v>Magnet</v>
          </cell>
          <cell r="V425" t="str">
            <v>磁钢 Material-Length(mm)-Width(mm)-Thickness(mm)</v>
          </cell>
        </row>
        <row r="426">
          <cell r="B426" t="str">
            <v>磁钢</v>
          </cell>
          <cell r="C426" t="str">
            <v>Magnet</v>
          </cell>
          <cell r="V426" t="str">
            <v>磁钢 NdFeB/38SH L50 30 8.8</v>
          </cell>
        </row>
        <row r="427">
          <cell r="B427" t="str">
            <v>定子组件</v>
          </cell>
          <cell r="C427" t="str">
            <v>Stator Assy</v>
          </cell>
          <cell r="V427" t="str">
            <v>定子组件 Length(mm)-Apply for</v>
          </cell>
        </row>
        <row r="428">
          <cell r="B428" t="str">
            <v>定子组件</v>
          </cell>
          <cell r="C428" t="str">
            <v>Stator Assy</v>
          </cell>
          <cell r="V428" t="str">
            <v>定子组件 L250 PMS280</v>
          </cell>
        </row>
        <row r="429">
          <cell r="B429" t="str">
            <v>护套</v>
          </cell>
          <cell r="C429" t="str">
            <v>Jacket</v>
          </cell>
          <cell r="V429" t="str">
            <v>护套 Material-Material Spec.</v>
          </cell>
        </row>
        <row r="430">
          <cell r="B430" t="str">
            <v>护套</v>
          </cell>
          <cell r="C430" t="str">
            <v>Jacket</v>
          </cell>
          <cell r="V430" t="str">
            <v>护套 Rubber D50*2*15</v>
          </cell>
        </row>
        <row r="431">
          <cell r="B431" t="str">
            <v>过线管</v>
          </cell>
          <cell r="C431" t="str">
            <v>Off-Ray Tube</v>
          </cell>
          <cell r="V431" t="str">
            <v>过线管 Material-Material Spec.</v>
          </cell>
        </row>
        <row r="432">
          <cell r="B432" t="str">
            <v>过线管</v>
          </cell>
          <cell r="C432" t="str">
            <v>Off-Ray Tube</v>
          </cell>
          <cell r="V432" t="str">
            <v>过线管 Nylon 6-D50*2*15</v>
          </cell>
        </row>
        <row r="433">
          <cell r="B433" t="str">
            <v>曳引轮组件</v>
          </cell>
          <cell r="C433" t="str">
            <v>Traction Pulley Assy</v>
          </cell>
          <cell r="V433" t="str">
            <v>曳引轮组件 Machine type-Pulley Dia.(mm)-Groove quantity-Rope dia.(mm)-Groove angle</v>
          </cell>
        </row>
        <row r="434">
          <cell r="B434" t="str">
            <v>曳引轮组件</v>
          </cell>
          <cell r="C434" t="str">
            <v>Traction Pulley Assy</v>
          </cell>
          <cell r="V434" t="str">
            <v>曳引轮组件 TW160 D720/8*d13/U45°105°</v>
          </cell>
        </row>
        <row r="435">
          <cell r="B435" t="str">
            <v>制动轮</v>
          </cell>
          <cell r="C435" t="str">
            <v>Brake Drum</v>
          </cell>
          <cell r="V435" t="str">
            <v>制动轮 Material-Brake drum dia.(mm)</v>
          </cell>
        </row>
        <row r="436">
          <cell r="B436" t="str">
            <v>制动轮</v>
          </cell>
          <cell r="C436" t="str">
            <v>Brake Drum</v>
          </cell>
          <cell r="V436" t="str">
            <v>制动轮 HT250 D500</v>
          </cell>
        </row>
        <row r="437">
          <cell r="B437" t="str">
            <v>编码器座</v>
          </cell>
          <cell r="C437" t="str">
            <v>Encoder Base</v>
          </cell>
          <cell r="V437" t="str">
            <v>编码器座 Apply for</v>
          </cell>
        </row>
        <row r="438">
          <cell r="B438" t="str">
            <v>编码器座</v>
          </cell>
          <cell r="C438" t="str">
            <v>Encoder Base</v>
          </cell>
          <cell r="V438" t="str">
            <v>编码器座 ECN413</v>
          </cell>
        </row>
        <row r="439">
          <cell r="B439" t="str">
            <v>前端内压盖</v>
          </cell>
          <cell r="C439" t="str">
            <v>Front-End Inner Gland</v>
          </cell>
          <cell r="V439" t="str">
            <v>前端内压盖 Material-Apply for</v>
          </cell>
        </row>
        <row r="440">
          <cell r="B440" t="str">
            <v>前端内压盖</v>
          </cell>
          <cell r="C440" t="str">
            <v>Front-End Inner Gland</v>
          </cell>
          <cell r="V440" t="str">
            <v>前端内压盖 HT250 PMS280</v>
          </cell>
        </row>
        <row r="441">
          <cell r="B441" t="str">
            <v>后端内压盖</v>
          </cell>
          <cell r="C441" t="str">
            <v>Back-End Inner Gland</v>
          </cell>
          <cell r="V441" t="str">
            <v>后端内压盖 Material-Apply for</v>
          </cell>
        </row>
        <row r="442">
          <cell r="B442" t="str">
            <v>后端内压盖</v>
          </cell>
          <cell r="C442" t="str">
            <v>Back-End Inner Gland</v>
          </cell>
          <cell r="V442" t="str">
            <v>后端内压盖 HT250 PMS280</v>
          </cell>
        </row>
        <row r="443">
          <cell r="B443" t="str">
            <v>曳引轮挡板</v>
          </cell>
          <cell r="C443" t="str">
            <v>T. Pulley Baffle</v>
          </cell>
          <cell r="V443" t="str">
            <v xml:space="preserve">曳引轮挡板 </v>
          </cell>
        </row>
        <row r="444">
          <cell r="B444" t="str">
            <v>曳引轮挡板</v>
          </cell>
          <cell r="C444" t="str">
            <v>T. Pulley Baffle</v>
          </cell>
          <cell r="V444" t="str">
            <v xml:space="preserve">曳引轮挡板 </v>
          </cell>
        </row>
        <row r="445">
          <cell r="B445" t="str">
            <v>止动环</v>
          </cell>
          <cell r="C445" t="str">
            <v>Fixing Ring</v>
          </cell>
          <cell r="V445" t="str">
            <v>止动环 Material-Dia.(mm)-Thickness(mm)</v>
          </cell>
        </row>
        <row r="446">
          <cell r="B446" t="str">
            <v>止动环</v>
          </cell>
          <cell r="C446" t="str">
            <v>Fixing Ring</v>
          </cell>
          <cell r="V446" t="str">
            <v>止动环 ZL101 D260 18</v>
          </cell>
        </row>
        <row r="447">
          <cell r="B447" t="str">
            <v>转子压板</v>
          </cell>
          <cell r="C447" t="str">
            <v>Rotor Binder Plate</v>
          </cell>
          <cell r="V447" t="str">
            <v xml:space="preserve">转子压板 </v>
          </cell>
        </row>
        <row r="448">
          <cell r="B448" t="str">
            <v>转子压板</v>
          </cell>
          <cell r="C448" t="str">
            <v>Rotor Binder Plate</v>
          </cell>
          <cell r="V448" t="str">
            <v xml:space="preserve">转子压板 </v>
          </cell>
        </row>
        <row r="449">
          <cell r="B449" t="str">
            <v>转子片</v>
          </cell>
          <cell r="C449" t="str">
            <v>Rotor Lamination</v>
          </cell>
          <cell r="V449" t="str">
            <v>转子片 Material-Dia.(mm)-Thickness(mm)</v>
          </cell>
        </row>
        <row r="450">
          <cell r="B450" t="str">
            <v>转子片</v>
          </cell>
          <cell r="C450" t="str">
            <v>Rotor Lamination</v>
          </cell>
          <cell r="V450" t="str">
            <v>转子片 DR510-50 D260 0.5</v>
          </cell>
        </row>
        <row r="451">
          <cell r="B451" t="str">
            <v>定子片</v>
          </cell>
          <cell r="C451" t="str">
            <v>Stator Lamination</v>
          </cell>
          <cell r="V451" t="str">
            <v>定子片 Material-Dia.(mm)-Thickness(mm)</v>
          </cell>
        </row>
        <row r="452">
          <cell r="B452" t="str">
            <v>定子片</v>
          </cell>
          <cell r="C452" t="str">
            <v>Stator Lamination</v>
          </cell>
          <cell r="V452" t="str">
            <v>定子片 DR510-50 D368 0.5</v>
          </cell>
        </row>
        <row r="453">
          <cell r="B453" t="str">
            <v>定子</v>
          </cell>
          <cell r="C453" t="str">
            <v>Stator</v>
          </cell>
          <cell r="V453" t="str">
            <v>定子 Length(mm)-Dia.(mm)</v>
          </cell>
        </row>
        <row r="454">
          <cell r="B454" t="str">
            <v>定子</v>
          </cell>
          <cell r="C454" t="str">
            <v>Stator</v>
          </cell>
          <cell r="V454" t="str">
            <v>定子 L250 D368</v>
          </cell>
        </row>
        <row r="455">
          <cell r="B455" t="str">
            <v>定子铁芯</v>
          </cell>
          <cell r="C455" t="str">
            <v>Stator Core</v>
          </cell>
          <cell r="V455" t="str">
            <v>定子铁芯 Length(mm)-Dia.(mm)</v>
          </cell>
        </row>
        <row r="456">
          <cell r="B456" t="str">
            <v>定子铁芯</v>
          </cell>
          <cell r="C456" t="str">
            <v>Stator Core</v>
          </cell>
          <cell r="V456" t="str">
            <v>定子铁芯 L250 D368</v>
          </cell>
        </row>
        <row r="457">
          <cell r="B457" t="str">
            <v>定子扣片</v>
          </cell>
          <cell r="C457" t="str">
            <v>Stator Cramp</v>
          </cell>
          <cell r="V457" t="str">
            <v xml:space="preserve">定子扣片 </v>
          </cell>
        </row>
        <row r="458">
          <cell r="B458" t="str">
            <v>定子扣片</v>
          </cell>
          <cell r="C458" t="str">
            <v>Stator Cramp</v>
          </cell>
          <cell r="V458" t="str">
            <v xml:space="preserve">定子扣片 </v>
          </cell>
        </row>
        <row r="459">
          <cell r="B459" t="str">
            <v>定子压板</v>
          </cell>
          <cell r="C459" t="str">
            <v>Stator Binder Plate</v>
          </cell>
          <cell r="V459" t="str">
            <v xml:space="preserve">定子压板 </v>
          </cell>
        </row>
        <row r="460">
          <cell r="B460" t="str">
            <v>定子压板</v>
          </cell>
          <cell r="C460" t="str">
            <v>Stator Binder Plate</v>
          </cell>
          <cell r="V460" t="str">
            <v xml:space="preserve">定子压板 </v>
          </cell>
        </row>
        <row r="461">
          <cell r="B461" t="str">
            <v>定子端板</v>
          </cell>
          <cell r="C461" t="str">
            <v>Stator End Plate</v>
          </cell>
          <cell r="V461" t="str">
            <v xml:space="preserve">定子端板 </v>
          </cell>
        </row>
        <row r="462">
          <cell r="B462" t="str">
            <v>定子端板</v>
          </cell>
          <cell r="C462" t="str">
            <v>Stator End Plate</v>
          </cell>
          <cell r="V462" t="str">
            <v xml:space="preserve">定子端板 </v>
          </cell>
        </row>
        <row r="463">
          <cell r="B463" t="str">
            <v>定子线圈</v>
          </cell>
          <cell r="C463" t="str">
            <v>Stator Winding</v>
          </cell>
          <cell r="V463" t="str">
            <v xml:space="preserve">定子线圈 </v>
          </cell>
        </row>
        <row r="464">
          <cell r="B464" t="str">
            <v>定子线圈</v>
          </cell>
          <cell r="C464" t="str">
            <v>Stator Winding</v>
          </cell>
          <cell r="V464" t="str">
            <v xml:space="preserve">定子线圈 </v>
          </cell>
        </row>
        <row r="465">
          <cell r="B465" t="str">
            <v>调整螺栓</v>
          </cell>
          <cell r="C465" t="str">
            <v>Adjusting Bolt</v>
          </cell>
          <cell r="V465" t="str">
            <v xml:space="preserve">调整螺栓 </v>
          </cell>
        </row>
        <row r="466">
          <cell r="B466" t="str">
            <v>调整螺栓</v>
          </cell>
          <cell r="C466" t="str">
            <v>Adjusting Bolt</v>
          </cell>
          <cell r="V466" t="str">
            <v xml:space="preserve">调整螺栓 </v>
          </cell>
        </row>
        <row r="467">
          <cell r="B467" t="str">
            <v>制动臂组件</v>
          </cell>
          <cell r="C467" t="str">
            <v>Brake Arm Assy</v>
          </cell>
          <cell r="V467" t="str">
            <v>制动臂组件 Brake drum dia.(mm)</v>
          </cell>
        </row>
        <row r="468">
          <cell r="B468" t="str">
            <v>制动臂组件</v>
          </cell>
          <cell r="C468" t="str">
            <v>Brake Arm Assy</v>
          </cell>
          <cell r="V468" t="str">
            <v>制动臂组件 D500</v>
          </cell>
        </row>
        <row r="469">
          <cell r="B469" t="str">
            <v>电磁铁组件</v>
          </cell>
          <cell r="C469" t="str">
            <v>Electromagnet Assy</v>
          </cell>
          <cell r="V469" t="str">
            <v>电磁铁组件 Rated Electromagnet Force-Start Voltage(V)-Hold Voltage(V)</v>
          </cell>
        </row>
        <row r="470">
          <cell r="B470" t="str">
            <v>电磁铁组件</v>
          </cell>
          <cell r="C470" t="str">
            <v>Electromagnet Assy</v>
          </cell>
          <cell r="V470" t="str">
            <v>电磁铁组件 2000N 198V/99V</v>
          </cell>
        </row>
        <row r="471">
          <cell r="B471" t="str">
            <v>制动器壳体</v>
          </cell>
          <cell r="C471" t="str">
            <v>Brake Frame</v>
          </cell>
          <cell r="V471" t="str">
            <v>制动器壳体 Material</v>
          </cell>
        </row>
        <row r="472">
          <cell r="B472" t="str">
            <v>制动器壳体</v>
          </cell>
          <cell r="C472" t="str">
            <v>Brake Frame</v>
          </cell>
          <cell r="V472" t="str">
            <v>制动器壳体 Cast Steel 20</v>
          </cell>
        </row>
        <row r="473">
          <cell r="B473" t="str">
            <v>衔铁</v>
          </cell>
          <cell r="C473" t="str">
            <v>Armature</v>
          </cell>
          <cell r="V473" t="str">
            <v>衔铁 Material</v>
          </cell>
        </row>
        <row r="474">
          <cell r="B474" t="str">
            <v>衔铁</v>
          </cell>
          <cell r="C474" t="str">
            <v>Armature</v>
          </cell>
          <cell r="V474" t="str">
            <v>衔铁 20</v>
          </cell>
        </row>
        <row r="475">
          <cell r="B475" t="str">
            <v>铁心</v>
          </cell>
          <cell r="C475" t="str">
            <v>Core</v>
          </cell>
          <cell r="V475" t="str">
            <v>铁心 Material</v>
          </cell>
        </row>
        <row r="476">
          <cell r="B476" t="str">
            <v>铁心</v>
          </cell>
          <cell r="C476" t="str">
            <v>Core</v>
          </cell>
          <cell r="V476" t="str">
            <v>铁心 20</v>
          </cell>
        </row>
        <row r="477">
          <cell r="B477" t="str">
            <v>推杆</v>
          </cell>
          <cell r="C477" t="str">
            <v>Push Rod</v>
          </cell>
          <cell r="V477" t="str">
            <v xml:space="preserve">推杆 </v>
          </cell>
        </row>
        <row r="478">
          <cell r="B478" t="str">
            <v>推杆</v>
          </cell>
          <cell r="C478" t="str">
            <v>Push Rod</v>
          </cell>
          <cell r="V478" t="str">
            <v xml:space="preserve">推杆 </v>
          </cell>
        </row>
        <row r="479">
          <cell r="B479" t="str">
            <v>释放轴</v>
          </cell>
          <cell r="C479" t="str">
            <v>Releasing Shaft</v>
          </cell>
          <cell r="V479" t="str">
            <v xml:space="preserve">释放轴 </v>
          </cell>
        </row>
        <row r="480">
          <cell r="B480" t="str">
            <v>释放轴</v>
          </cell>
          <cell r="C480" t="str">
            <v>Releasing Shaft</v>
          </cell>
          <cell r="V480" t="str">
            <v xml:space="preserve">释放轴 </v>
          </cell>
        </row>
        <row r="481">
          <cell r="B481" t="str">
            <v>释放杆</v>
          </cell>
          <cell r="C481" t="str">
            <v>Releasing Bar</v>
          </cell>
          <cell r="V481" t="str">
            <v xml:space="preserve">释放杆 </v>
          </cell>
        </row>
        <row r="482">
          <cell r="B482" t="str">
            <v>释放杆</v>
          </cell>
          <cell r="C482" t="str">
            <v>Releasing Bar</v>
          </cell>
          <cell r="V482" t="str">
            <v xml:space="preserve">释放杆 </v>
          </cell>
        </row>
        <row r="483">
          <cell r="B483" t="str">
            <v>手柄球</v>
          </cell>
          <cell r="C483" t="str">
            <v>Ball Knobs</v>
          </cell>
          <cell r="V483" t="str">
            <v>手柄球 Type-Spec-Color
(R-Red, B-Black)-Standard Code</v>
          </cell>
        </row>
        <row r="484">
          <cell r="B484" t="str">
            <v>手柄球</v>
          </cell>
          <cell r="C484" t="str">
            <v>Ball Knobs</v>
          </cell>
          <cell r="V484" t="str">
            <v>手柄球 A M10*32 R JB/T7271.1</v>
          </cell>
        </row>
        <row r="485">
          <cell r="B485" t="str">
            <v>消音衬垫</v>
          </cell>
          <cell r="C485" t="str">
            <v>Slience Pad</v>
          </cell>
          <cell r="V485" t="str">
            <v>消音衬垫 Material-Spec.</v>
          </cell>
        </row>
        <row r="486">
          <cell r="B486" t="str">
            <v>消音衬垫</v>
          </cell>
          <cell r="C486" t="str">
            <v>Slience Pad</v>
          </cell>
          <cell r="V486" t="str">
            <v>消音衬垫 Silastic D50*1.5</v>
          </cell>
        </row>
        <row r="487">
          <cell r="B487" t="str">
            <v>线圈</v>
          </cell>
          <cell r="C487" t="str">
            <v>Coil</v>
          </cell>
          <cell r="V487" t="str">
            <v>线圈 Wire Type-Wire dia.(mm)-Resistance</v>
          </cell>
        </row>
        <row r="488">
          <cell r="B488" t="str">
            <v>线圈</v>
          </cell>
          <cell r="C488" t="str">
            <v>Coil</v>
          </cell>
          <cell r="V488" t="str">
            <v>线圈 QZY-2 d6.2 38.2Ω</v>
          </cell>
        </row>
        <row r="489">
          <cell r="B489" t="str">
            <v>制动弹簧垫圈</v>
          </cell>
          <cell r="C489" t="str">
            <v>Brake Spring Washer</v>
          </cell>
          <cell r="V489" t="str">
            <v xml:space="preserve">制动弹簧垫圈 </v>
          </cell>
        </row>
        <row r="490">
          <cell r="B490" t="str">
            <v>制动弹簧垫圈</v>
          </cell>
          <cell r="C490" t="str">
            <v>Brake Spring Washer</v>
          </cell>
          <cell r="V490" t="str">
            <v xml:space="preserve">制动弹簧垫圈 </v>
          </cell>
        </row>
        <row r="491">
          <cell r="B491" t="str">
            <v>拉杆</v>
          </cell>
          <cell r="C491" t="str">
            <v>Tension Rod</v>
          </cell>
          <cell r="V491" t="str">
            <v>拉杆 Type-Length(mm)</v>
          </cell>
        </row>
        <row r="492">
          <cell r="B492" t="str">
            <v>拉杆</v>
          </cell>
          <cell r="C492" t="str">
            <v>Tension Rod</v>
          </cell>
          <cell r="V492" t="str">
            <v>拉杆 M20 L1200</v>
          </cell>
        </row>
        <row r="493">
          <cell r="B493" t="str">
            <v>拉杆</v>
          </cell>
          <cell r="C493" t="str">
            <v>Tension Rod</v>
          </cell>
          <cell r="V493" t="str">
            <v>拉杆 D20 L1200</v>
          </cell>
        </row>
        <row r="494">
          <cell r="B494" t="str">
            <v>释放操作说明</v>
          </cell>
          <cell r="C494" t="str">
            <v>Release Operation Instruction</v>
          </cell>
          <cell r="V494" t="str">
            <v xml:space="preserve">释放操作说明 </v>
          </cell>
        </row>
        <row r="495">
          <cell r="B495" t="str">
            <v>释放操作说明</v>
          </cell>
          <cell r="C495" t="str">
            <v>Release Operation Instruction</v>
          </cell>
          <cell r="V495" t="str">
            <v xml:space="preserve">释放操作说明 </v>
          </cell>
        </row>
        <row r="496">
          <cell r="B496" t="str">
            <v>自润滑轴承</v>
          </cell>
          <cell r="C496" t="str">
            <v>Self-Lubricating Bearing</v>
          </cell>
          <cell r="V496" t="str">
            <v>自润滑轴承 Spec-Type</v>
          </cell>
        </row>
        <row r="497">
          <cell r="B497" t="str">
            <v>自润滑轴承</v>
          </cell>
          <cell r="C497" t="str">
            <v>Self-Lubricating Bearing</v>
          </cell>
          <cell r="V497" t="str">
            <v>自润滑轴承 MB2020B SF-1B</v>
          </cell>
        </row>
        <row r="498">
          <cell r="B498" t="str">
            <v>屏蔽金属电缆夹头</v>
          </cell>
          <cell r="C498" t="str">
            <v>Chuck Metal Shield Cable</v>
          </cell>
          <cell r="V498" t="str">
            <v>屏蔽金属电缆夹头 Type</v>
          </cell>
        </row>
        <row r="499">
          <cell r="B499" t="str">
            <v>屏蔽金属电缆夹头</v>
          </cell>
          <cell r="C499" t="str">
            <v>Chuck Metal Shield Cable</v>
          </cell>
          <cell r="V499" t="str">
            <v>屏蔽金属电缆夹头 HSM-EMC-M</v>
          </cell>
        </row>
        <row r="500">
          <cell r="B500" t="str">
            <v>尼龙闷盖</v>
          </cell>
          <cell r="C500" t="str">
            <v>Nylon Blank Cap</v>
          </cell>
          <cell r="V500" t="str">
            <v>尼龙闷盖 Type-Spec</v>
          </cell>
        </row>
        <row r="501">
          <cell r="B501" t="str">
            <v>尼龙闷盖</v>
          </cell>
          <cell r="C501" t="str">
            <v>Nylon Blank Cap</v>
          </cell>
          <cell r="V501" t="str">
            <v>尼龙闷盖 DPP-M M25*1.5</v>
          </cell>
        </row>
        <row r="502">
          <cell r="B502" t="str">
            <v>微动开关</v>
          </cell>
          <cell r="C502" t="str">
            <v>Microswitch</v>
          </cell>
          <cell r="V502" t="str">
            <v>微动开关 Type-Spec.</v>
          </cell>
        </row>
        <row r="503">
          <cell r="B503" t="str">
            <v>微动开关</v>
          </cell>
          <cell r="C503" t="str">
            <v>Microswitch</v>
          </cell>
          <cell r="V503" t="str">
            <v>微动开关 TM-1307 PT0.4</v>
          </cell>
        </row>
        <row r="504">
          <cell r="B504" t="str">
            <v>微动开关外壳</v>
          </cell>
          <cell r="C504" t="str">
            <v>Microswitch Case</v>
          </cell>
          <cell r="V504" t="str">
            <v>微动开关外壳 Type</v>
          </cell>
        </row>
        <row r="505">
          <cell r="B505" t="str">
            <v>微动开关外壳</v>
          </cell>
          <cell r="C505" t="str">
            <v>Microswitch Case</v>
          </cell>
          <cell r="V505" t="str">
            <v>微动开关外壳 TAP-X</v>
          </cell>
        </row>
        <row r="506">
          <cell r="B506" t="str">
            <v>盘车手轮</v>
          </cell>
          <cell r="C506" t="str">
            <v>Handwheel</v>
          </cell>
          <cell r="V506" t="str">
            <v>盘车手轮 Dia.(mm)</v>
          </cell>
        </row>
        <row r="507">
          <cell r="B507" t="str">
            <v>盘车手轮</v>
          </cell>
          <cell r="C507" t="str">
            <v>Handwheel</v>
          </cell>
          <cell r="V507" t="str">
            <v>盘车手轮 D300</v>
          </cell>
        </row>
        <row r="508">
          <cell r="B508" t="str">
            <v>减震垫底板</v>
          </cell>
          <cell r="C508" t="str">
            <v>Vibrating Absorber Base Plate</v>
          </cell>
          <cell r="V508" t="str">
            <v xml:space="preserve">减震垫底板 </v>
          </cell>
        </row>
        <row r="509">
          <cell r="B509" t="str">
            <v>减震垫底板</v>
          </cell>
          <cell r="C509" t="str">
            <v>Vibrating Absorber Base Plate</v>
          </cell>
          <cell r="V509" t="str">
            <v xml:space="preserve">减震垫底板 </v>
          </cell>
        </row>
        <row r="510">
          <cell r="B510" t="str">
            <v>支撑板</v>
          </cell>
          <cell r="C510" t="str">
            <v>Supporting Plate</v>
          </cell>
          <cell r="V510" t="str">
            <v xml:space="preserve">支撑板 </v>
          </cell>
        </row>
        <row r="511">
          <cell r="B511" t="str">
            <v>支撑板</v>
          </cell>
          <cell r="C511" t="str">
            <v>Supporting Plate</v>
          </cell>
          <cell r="V511" t="str">
            <v xml:space="preserve">支撑板 </v>
          </cell>
        </row>
        <row r="512">
          <cell r="B512" t="str">
            <v>支撑块</v>
          </cell>
          <cell r="C512" t="str">
            <v>Supporting Block</v>
          </cell>
          <cell r="V512" t="str">
            <v xml:space="preserve">支撑块 </v>
          </cell>
        </row>
        <row r="513">
          <cell r="B513" t="str">
            <v>支撑块</v>
          </cell>
          <cell r="C513" t="str">
            <v>Supporting Block</v>
          </cell>
          <cell r="V513" t="str">
            <v xml:space="preserve">支撑块 </v>
          </cell>
        </row>
        <row r="514">
          <cell r="B514" t="str">
            <v>绳头板组件</v>
          </cell>
          <cell r="C514" t="str">
            <v>Rope Hitch Plate Assy</v>
          </cell>
          <cell r="V514" t="str">
            <v>绳头板组件 Quantity-Hole Dia.(mm)</v>
          </cell>
        </row>
        <row r="515">
          <cell r="B515" t="str">
            <v>绳头板组件</v>
          </cell>
          <cell r="C515" t="str">
            <v>Rope Hitch Plate Assy</v>
          </cell>
          <cell r="V515" t="str">
            <v>绳头板组件 7*D27</v>
          </cell>
        </row>
        <row r="516">
          <cell r="B516" t="str">
            <v>绳头板</v>
          </cell>
          <cell r="C516" t="str">
            <v>Rope Hitch Plate</v>
          </cell>
          <cell r="V516" t="str">
            <v>绳头板 Quantity-Hole Dia.(mm)</v>
          </cell>
        </row>
        <row r="517">
          <cell r="B517" t="str">
            <v>绳头板</v>
          </cell>
          <cell r="C517" t="str">
            <v>Rope Hitch Plate</v>
          </cell>
          <cell r="V517" t="str">
            <v>绳头板 7*D27</v>
          </cell>
        </row>
        <row r="518">
          <cell r="B518" t="str">
            <v>导向轮防护罩</v>
          </cell>
          <cell r="C518" t="str">
            <v>Deflection Pulley Cover</v>
          </cell>
          <cell r="V518" t="str">
            <v xml:space="preserve">导向轮防护罩 </v>
          </cell>
        </row>
        <row r="519">
          <cell r="B519" t="str">
            <v>导向轮防护罩</v>
          </cell>
          <cell r="C519" t="str">
            <v>Deflection Pulley Cover</v>
          </cell>
          <cell r="V519" t="str">
            <v xml:space="preserve">导向轮防护罩 </v>
          </cell>
        </row>
        <row r="520">
          <cell r="B520" t="str">
            <v>挡绳组件</v>
          </cell>
          <cell r="C520" t="str">
            <v>Rope Block Assy</v>
          </cell>
          <cell r="V520" t="str">
            <v xml:space="preserve">挡绳组件 </v>
          </cell>
        </row>
        <row r="521">
          <cell r="B521" t="str">
            <v>挡绳组件</v>
          </cell>
          <cell r="C521" t="str">
            <v>Rope Block Assy</v>
          </cell>
          <cell r="V521" t="str">
            <v xml:space="preserve">挡绳组件 </v>
          </cell>
        </row>
        <row r="522">
          <cell r="B522" t="str">
            <v>夹绳器</v>
          </cell>
          <cell r="C522" t="str">
            <v>Rope Gripper</v>
          </cell>
          <cell r="V522" t="str">
            <v>夹绳器 Type-Rated Speed(Max. m/s)-Rated Load (Max. kg)-System Mass (Max. kg)</v>
          </cell>
        </row>
        <row r="523">
          <cell r="B523" t="str">
            <v>夹绳器</v>
          </cell>
          <cell r="C523" t="str">
            <v>Rope Gripper</v>
          </cell>
          <cell r="V523" t="str">
            <v>夹绳器 JSQ2 2.5m/s 1350kg/5621kg</v>
          </cell>
        </row>
        <row r="524">
          <cell r="B524" t="str">
            <v>轿壁</v>
          </cell>
          <cell r="C524" t="str">
            <v>Car Panel</v>
          </cell>
          <cell r="V524" t="str">
            <v>轿壁 Panel Width(mm)-Car Height(mm)-Panel Decoration</v>
          </cell>
        </row>
        <row r="525">
          <cell r="B525" t="str">
            <v>轿壁</v>
          </cell>
          <cell r="C525" t="str">
            <v>Car Panel</v>
          </cell>
          <cell r="V525" t="str">
            <v>轿壁 625 CH2400 SUS304HL</v>
          </cell>
        </row>
        <row r="526">
          <cell r="B526" t="str">
            <v>观光轿壁</v>
          </cell>
          <cell r="C526" t="str">
            <v>Panoramic Car Panel</v>
          </cell>
          <cell r="V526" t="str">
            <v>观光轿壁 Car Panel Width(mm)-Car Height(mm)-Car Width(mm)-Car Depthmm)-Surface Tech. (Spray Powder,Stainless Steel)</v>
          </cell>
        </row>
        <row r="527">
          <cell r="B527" t="str">
            <v>观光轿壁</v>
          </cell>
          <cell r="C527" t="str">
            <v>Panoramic Car Panel</v>
          </cell>
          <cell r="V527" t="str">
            <v>观光轿壁 1400 CH2400 CW1400 CD1600 SUS304/MI</v>
          </cell>
        </row>
        <row r="528">
          <cell r="B528" t="str">
            <v>观光轿壁</v>
          </cell>
          <cell r="C528" t="str">
            <v>Panoramic Car Panel</v>
          </cell>
          <cell r="V528" t="str">
            <v>观光轿壁 1400 CH2400 CW1400 CD1600 PLC</v>
          </cell>
        </row>
        <row r="529">
          <cell r="B529" t="str">
            <v>玻璃嵌条</v>
          </cell>
          <cell r="C529" t="str">
            <v>Glazing Gasket</v>
          </cell>
          <cell r="V529" t="str">
            <v>玻璃嵌条 Length(mm)-Material</v>
          </cell>
        </row>
        <row r="530">
          <cell r="B530" t="str">
            <v>玻璃嵌条</v>
          </cell>
          <cell r="C530" t="str">
            <v>Glazing Gasket</v>
          </cell>
          <cell r="V530" t="str">
            <v>玻璃嵌条 L870 Rubber</v>
          </cell>
        </row>
        <row r="531">
          <cell r="B531" t="str">
            <v>封头组件</v>
          </cell>
          <cell r="C531" t="str">
            <v>Joint Bracket Assy</v>
          </cell>
          <cell r="V531" t="str">
            <v xml:space="preserve">封头组件 </v>
          </cell>
        </row>
        <row r="532">
          <cell r="B532" t="str">
            <v>封头组件</v>
          </cell>
          <cell r="C532" t="str">
            <v>Joint Bracket Assy</v>
          </cell>
          <cell r="V532" t="str">
            <v xml:space="preserve">封头组件 </v>
          </cell>
        </row>
        <row r="533">
          <cell r="B533" t="str">
            <v>封头板</v>
          </cell>
          <cell r="C533" t="str">
            <v>Joint Bracket Plate</v>
          </cell>
          <cell r="V533" t="str">
            <v>封头板 Position</v>
          </cell>
        </row>
        <row r="534">
          <cell r="B534" t="str">
            <v>封头板</v>
          </cell>
          <cell r="C534" t="str">
            <v>Joint Bracket Plate</v>
          </cell>
          <cell r="V534" t="str">
            <v>封头板 Left</v>
          </cell>
        </row>
        <row r="535">
          <cell r="B535" t="str">
            <v>轿顶护脚板</v>
          </cell>
          <cell r="C535" t="str">
            <v>Car Roof Toe Guard Plate</v>
          </cell>
          <cell r="V535" t="str">
            <v xml:space="preserve">轿顶护脚板 </v>
          </cell>
        </row>
        <row r="536">
          <cell r="B536" t="str">
            <v>轿顶护脚板</v>
          </cell>
          <cell r="C536" t="str">
            <v>Car Roof Toe Guard Plate</v>
          </cell>
          <cell r="V536" t="str">
            <v xml:space="preserve">轿顶护脚板 </v>
          </cell>
        </row>
        <row r="537">
          <cell r="B537" t="str">
            <v>轿顶加强筋</v>
          </cell>
          <cell r="C537" t="str">
            <v>Roof Stiffening Rib</v>
          </cell>
          <cell r="V537" t="str">
            <v xml:space="preserve">轿顶加强筋 </v>
          </cell>
        </row>
        <row r="538">
          <cell r="B538" t="str">
            <v>轿顶加强筋</v>
          </cell>
          <cell r="C538" t="str">
            <v>Roof Stiffening Rib</v>
          </cell>
          <cell r="V538" t="str">
            <v xml:space="preserve">轿顶加强筋 </v>
          </cell>
        </row>
        <row r="539">
          <cell r="B539" t="str">
            <v>轿顶电缆夹</v>
          </cell>
          <cell r="C539" t="str">
            <v>Cable Clip On Roof</v>
          </cell>
          <cell r="V539" t="str">
            <v xml:space="preserve">轿顶电缆夹 </v>
          </cell>
        </row>
        <row r="540">
          <cell r="B540" t="str">
            <v>轿顶电缆夹</v>
          </cell>
          <cell r="C540" t="str">
            <v>Cable Clip On Roof</v>
          </cell>
          <cell r="V540" t="str">
            <v xml:space="preserve">轿顶电缆夹 </v>
          </cell>
        </row>
        <row r="541">
          <cell r="B541" t="str">
            <v>轿顶风扇座</v>
          </cell>
          <cell r="C541" t="str">
            <v>Fan Base Of Car Roof</v>
          </cell>
          <cell r="V541" t="str">
            <v>轿顶风扇座 Fan Type</v>
          </cell>
        </row>
        <row r="542">
          <cell r="B542" t="str">
            <v>轿顶风扇座</v>
          </cell>
          <cell r="C542" t="str">
            <v>Fan Base Of Car Roof</v>
          </cell>
          <cell r="V542" t="str">
            <v>轿顶风扇座 FB-9B</v>
          </cell>
        </row>
        <row r="543">
          <cell r="B543" t="str">
            <v>吊顶嵌条</v>
          </cell>
          <cell r="C543" t="str">
            <v>Suspended Ceiling Strip</v>
          </cell>
          <cell r="V543" t="str">
            <v>吊顶嵌条 Material</v>
          </cell>
        </row>
        <row r="544">
          <cell r="B544" t="str">
            <v>吊顶嵌条</v>
          </cell>
          <cell r="C544" t="str">
            <v>Suspended Ceiling Strip</v>
          </cell>
          <cell r="V544" t="str">
            <v>吊顶嵌条 PVC Plastic</v>
          </cell>
        </row>
        <row r="545">
          <cell r="B545" t="str">
            <v>导风管组件</v>
          </cell>
          <cell r="C545" t="str">
            <v>Vent-Pipe Assy</v>
          </cell>
          <cell r="V545" t="str">
            <v xml:space="preserve">导风管组件 </v>
          </cell>
        </row>
        <row r="546">
          <cell r="B546" t="str">
            <v>导风管组件</v>
          </cell>
          <cell r="C546" t="str">
            <v>Vent-Pipe Assy</v>
          </cell>
          <cell r="V546" t="str">
            <v xml:space="preserve">导风管组件 </v>
          </cell>
        </row>
        <row r="547">
          <cell r="B547" t="str">
            <v>轿底框架</v>
          </cell>
          <cell r="C547" t="str">
            <v>Car Floor Frame</v>
          </cell>
          <cell r="V547" t="str">
            <v>轿底框架 Car  Width(mm)-Car Depth(mm)</v>
          </cell>
        </row>
        <row r="548">
          <cell r="B548" t="str">
            <v>轿底框架</v>
          </cell>
          <cell r="C548" t="str">
            <v>Car Floor Frame</v>
          </cell>
          <cell r="V548" t="str">
            <v>轿底框架 CW1350*CD1400</v>
          </cell>
        </row>
        <row r="549">
          <cell r="B549" t="str">
            <v>防护栏杆</v>
          </cell>
          <cell r="C549" t="str">
            <v>Protection Balustrade</v>
          </cell>
          <cell r="V549" t="str">
            <v xml:space="preserve">防护栏杆 </v>
          </cell>
        </row>
        <row r="550">
          <cell r="B550" t="str">
            <v>防护栏杆</v>
          </cell>
          <cell r="C550" t="str">
            <v>Protection Balustrade</v>
          </cell>
          <cell r="V550" t="str">
            <v xml:space="preserve">防护栏杆 </v>
          </cell>
        </row>
        <row r="551">
          <cell r="B551" t="str">
            <v>轿厢扶手</v>
          </cell>
          <cell r="C551" t="str">
            <v>Car Handrail</v>
          </cell>
          <cell r="V551" t="str">
            <v>轿厢扶手 Type-Length(mm)-Section-Material-Surface Finish</v>
          </cell>
        </row>
        <row r="552">
          <cell r="B552" t="str">
            <v>轿厢扶手</v>
          </cell>
          <cell r="C552" t="str">
            <v>Car Handrail</v>
          </cell>
          <cell r="V552" t="str">
            <v>轿厢扶手 HRR-1D L1000 Flat SUS 304/HL</v>
          </cell>
        </row>
        <row r="553">
          <cell r="B553" t="str">
            <v>轿厢扶手</v>
          </cell>
          <cell r="C553" t="str">
            <v>Car Handrail</v>
          </cell>
          <cell r="V553" t="str">
            <v>轿厢扶手 HRR-1E L1000 Round Wood</v>
          </cell>
        </row>
        <row r="554">
          <cell r="B554" t="str">
            <v>镜子组件</v>
          </cell>
          <cell r="C554" t="str">
            <v>Mirror Assy</v>
          </cell>
          <cell r="V554" t="str">
            <v>镜子组件 Width(mm)-Car Height(mm)</v>
          </cell>
        </row>
        <row r="555">
          <cell r="B555" t="str">
            <v>镜子组件</v>
          </cell>
          <cell r="C555" t="str">
            <v>Mirror Assy</v>
          </cell>
          <cell r="V555" t="str">
            <v>镜子组件 260 CH2400</v>
          </cell>
        </row>
        <row r="556">
          <cell r="B556" t="str">
            <v>镜子</v>
          </cell>
          <cell r="C556" t="str">
            <v>Mirror</v>
          </cell>
          <cell r="V556" t="str">
            <v>镜子 Width(mm)-Car Height(mm)</v>
          </cell>
        </row>
        <row r="557">
          <cell r="B557" t="str">
            <v>镜子</v>
          </cell>
          <cell r="C557" t="str">
            <v>Mirror</v>
          </cell>
          <cell r="V557" t="str">
            <v>镜子 260 CH2400</v>
          </cell>
        </row>
        <row r="558">
          <cell r="B558" t="str">
            <v>上梁端板组件</v>
          </cell>
          <cell r="C558" t="str">
            <v>Top Beam End Plate Assy</v>
          </cell>
          <cell r="V558" t="str">
            <v xml:space="preserve">上梁端板组件 </v>
          </cell>
        </row>
        <row r="559">
          <cell r="B559" t="str">
            <v>上梁端板组件</v>
          </cell>
          <cell r="C559" t="str">
            <v>Top Beam End Plate Assy</v>
          </cell>
          <cell r="V559" t="str">
            <v xml:space="preserve">上梁端板组件 </v>
          </cell>
        </row>
        <row r="560">
          <cell r="B560" t="str">
            <v>上梁端板</v>
          </cell>
          <cell r="C560" t="str">
            <v>Top Beam End Plate</v>
          </cell>
          <cell r="V560" t="str">
            <v xml:space="preserve">上梁端板 </v>
          </cell>
        </row>
        <row r="561">
          <cell r="B561" t="str">
            <v>上梁端板</v>
          </cell>
          <cell r="C561" t="str">
            <v>Top Beam End Plate</v>
          </cell>
          <cell r="V561" t="str">
            <v xml:space="preserve">上梁端板 </v>
          </cell>
        </row>
        <row r="562">
          <cell r="B562" t="str">
            <v>安全钳提拉装置</v>
          </cell>
          <cell r="C562" t="str">
            <v>Safety Gear Pulling Device</v>
          </cell>
          <cell r="V562" t="str">
            <v>安全钳提拉装置 Rail Gauge(mm)</v>
          </cell>
        </row>
        <row r="563">
          <cell r="B563" t="str">
            <v>安全钳提拉装置</v>
          </cell>
          <cell r="C563" t="str">
            <v>Safety Gear Pulling Device</v>
          </cell>
          <cell r="V563" t="str">
            <v>安全钳提拉装置 1780</v>
          </cell>
        </row>
        <row r="564">
          <cell r="B564" t="str">
            <v>限位开关打环</v>
          </cell>
          <cell r="C564" t="str">
            <v>Limit Switch Trigger Device</v>
          </cell>
          <cell r="V564" t="str">
            <v xml:space="preserve">限位开关打环 </v>
          </cell>
        </row>
        <row r="565">
          <cell r="B565" t="str">
            <v>限位开关打环</v>
          </cell>
          <cell r="C565" t="str">
            <v>Limit Switch Trigger Device</v>
          </cell>
          <cell r="V565" t="str">
            <v xml:space="preserve">限位开关打环 </v>
          </cell>
        </row>
        <row r="566">
          <cell r="B566" t="str">
            <v>转动杆组件</v>
          </cell>
          <cell r="C566" t="str">
            <v>Swivel Lever Assy</v>
          </cell>
          <cell r="V566" t="str">
            <v xml:space="preserve">转动杆组件 </v>
          </cell>
        </row>
        <row r="567">
          <cell r="B567" t="str">
            <v>转动杆组件</v>
          </cell>
          <cell r="C567" t="str">
            <v>Swivel Lever Assy</v>
          </cell>
          <cell r="V567" t="str">
            <v xml:space="preserve">转动杆组件 </v>
          </cell>
        </row>
        <row r="568">
          <cell r="B568" t="str">
            <v>转动杆</v>
          </cell>
          <cell r="C568" t="str">
            <v>Swivel Lever</v>
          </cell>
          <cell r="V568" t="str">
            <v xml:space="preserve">转动杆 </v>
          </cell>
        </row>
        <row r="569">
          <cell r="B569" t="str">
            <v>转动杆</v>
          </cell>
          <cell r="C569" t="str">
            <v>Swivel Lever</v>
          </cell>
          <cell r="V569" t="str">
            <v xml:space="preserve">转动杆 </v>
          </cell>
        </row>
        <row r="570">
          <cell r="B570" t="str">
            <v>传动杆组件</v>
          </cell>
          <cell r="C570" t="str">
            <v>Actuating Lever Assy</v>
          </cell>
          <cell r="V570" t="str">
            <v xml:space="preserve">传动杆组件 </v>
          </cell>
        </row>
        <row r="571">
          <cell r="B571" t="str">
            <v>传动杆组件</v>
          </cell>
          <cell r="C571" t="str">
            <v>Actuating Lever Assy</v>
          </cell>
          <cell r="V571" t="str">
            <v xml:space="preserve">传动杆组件 </v>
          </cell>
        </row>
        <row r="572">
          <cell r="B572" t="str">
            <v>传动杆</v>
          </cell>
          <cell r="C572" t="str">
            <v>Actuating Lever</v>
          </cell>
          <cell r="V572" t="str">
            <v xml:space="preserve">传动杆 </v>
          </cell>
        </row>
        <row r="573">
          <cell r="B573" t="str">
            <v>传动杆</v>
          </cell>
          <cell r="C573" t="str">
            <v>Actuating Lever</v>
          </cell>
          <cell r="V573" t="str">
            <v xml:space="preserve">传动杆 </v>
          </cell>
        </row>
        <row r="574">
          <cell r="B574" t="str">
            <v>弹簧拉钩</v>
          </cell>
          <cell r="C574" t="str">
            <v>Spring Hook</v>
          </cell>
          <cell r="V574" t="str">
            <v xml:space="preserve">弹簧拉钩 </v>
          </cell>
        </row>
        <row r="575">
          <cell r="B575" t="str">
            <v>弹簧拉钩</v>
          </cell>
          <cell r="C575" t="str">
            <v>Spring Hook</v>
          </cell>
          <cell r="V575" t="str">
            <v xml:space="preserve">弹簧拉钩 </v>
          </cell>
        </row>
        <row r="576">
          <cell r="B576" t="str">
            <v>限速器绳连结板</v>
          </cell>
          <cell r="C576" t="str">
            <v>Governor Rope Attachment Plate</v>
          </cell>
          <cell r="V576" t="str">
            <v xml:space="preserve">限速器绳连结板 </v>
          </cell>
        </row>
        <row r="577">
          <cell r="B577" t="str">
            <v>限速器绳连结板</v>
          </cell>
          <cell r="C577" t="str">
            <v>Governor Rope Attachment Plate</v>
          </cell>
          <cell r="V577" t="str">
            <v xml:space="preserve">限速器绳连结板 </v>
          </cell>
        </row>
        <row r="578">
          <cell r="B578" t="str">
            <v>框架横梁</v>
          </cell>
          <cell r="C578" t="str">
            <v>Frame Transom</v>
          </cell>
          <cell r="V578" t="str">
            <v xml:space="preserve">框架横梁 </v>
          </cell>
        </row>
        <row r="579">
          <cell r="B579" t="str">
            <v>框架横梁</v>
          </cell>
          <cell r="C579" t="str">
            <v>Frame Transom</v>
          </cell>
          <cell r="V579" t="str">
            <v xml:space="preserve">框架横梁 </v>
          </cell>
        </row>
        <row r="580">
          <cell r="B580" t="str">
            <v>框架肋板</v>
          </cell>
          <cell r="C580" t="str">
            <v>Frame Ribbed Slab</v>
          </cell>
          <cell r="V580" t="str">
            <v xml:space="preserve">框架肋板 </v>
          </cell>
        </row>
        <row r="581">
          <cell r="B581" t="str">
            <v>框架肋板</v>
          </cell>
          <cell r="C581" t="str">
            <v>Frame Ribbed Slab</v>
          </cell>
          <cell r="V581" t="str">
            <v xml:space="preserve">框架肋板 </v>
          </cell>
        </row>
        <row r="582">
          <cell r="B582" t="str">
            <v>缓冲器撞板</v>
          </cell>
          <cell r="C582" t="str">
            <v>Buffer Striking Plate</v>
          </cell>
          <cell r="V582" t="str">
            <v xml:space="preserve">缓冲器撞板 </v>
          </cell>
        </row>
        <row r="583">
          <cell r="B583" t="str">
            <v>缓冲器撞板</v>
          </cell>
          <cell r="C583" t="str">
            <v>Buffer Striking Plate</v>
          </cell>
          <cell r="V583" t="str">
            <v xml:space="preserve">缓冲器撞板 </v>
          </cell>
        </row>
        <row r="584">
          <cell r="B584" t="str">
            <v>轿厢架立柱组件</v>
          </cell>
          <cell r="C584" t="str">
            <v>Car Frame Upright Assy</v>
          </cell>
          <cell r="V584" t="str">
            <v>轿厢架立柱组件 Length(mm)</v>
          </cell>
        </row>
        <row r="585">
          <cell r="B585" t="str">
            <v>轿厢架立柱组件</v>
          </cell>
          <cell r="C585" t="str">
            <v>Car Frame Upright Assy</v>
          </cell>
          <cell r="V585" t="str">
            <v>轿厢架立柱组件 L3109</v>
          </cell>
        </row>
        <row r="586">
          <cell r="B586" t="str">
            <v>轿厢架立柱</v>
          </cell>
          <cell r="C586" t="str">
            <v>Car Frame Upright</v>
          </cell>
          <cell r="V586" t="str">
            <v xml:space="preserve">轿厢架立柱 </v>
          </cell>
        </row>
        <row r="587">
          <cell r="B587" t="str">
            <v>轿厢架立柱</v>
          </cell>
          <cell r="C587" t="str">
            <v>Car Frame Upright</v>
          </cell>
          <cell r="V587" t="str">
            <v xml:space="preserve">轿厢架立柱 </v>
          </cell>
        </row>
        <row r="588">
          <cell r="B588" t="str">
            <v>轿架立柱座</v>
          </cell>
          <cell r="C588" t="str">
            <v>Car Frame Upright Base</v>
          </cell>
          <cell r="V588" t="str">
            <v xml:space="preserve">轿架立柱座 </v>
          </cell>
        </row>
        <row r="589">
          <cell r="B589" t="str">
            <v>轿架立柱座</v>
          </cell>
          <cell r="C589" t="str">
            <v>Car Frame Upright Base</v>
          </cell>
          <cell r="V589" t="str">
            <v xml:space="preserve">轿架立柱座 </v>
          </cell>
        </row>
        <row r="590">
          <cell r="B590" t="str">
            <v>安全钳拉杆</v>
          </cell>
          <cell r="C590" t="str">
            <v>Safety Gear Operating Rod</v>
          </cell>
          <cell r="V590" t="str">
            <v xml:space="preserve">安全钳拉杆 </v>
          </cell>
        </row>
        <row r="591">
          <cell r="B591" t="str">
            <v>安全钳拉杆</v>
          </cell>
          <cell r="C591" t="str">
            <v>Safety Gear Operating Rod</v>
          </cell>
          <cell r="V591" t="str">
            <v xml:space="preserve">安全钳拉杆 </v>
          </cell>
        </row>
        <row r="592">
          <cell r="B592" t="str">
            <v>轿架斜拉杆</v>
          </cell>
          <cell r="C592" t="str">
            <v>Car Frame Brace Rod</v>
          </cell>
          <cell r="V592" t="str">
            <v xml:space="preserve">轿架斜拉杆 </v>
          </cell>
        </row>
        <row r="593">
          <cell r="B593" t="str">
            <v>轿架斜拉杆</v>
          </cell>
          <cell r="C593" t="str">
            <v>Car Frame Brace Rod</v>
          </cell>
          <cell r="V593" t="str">
            <v xml:space="preserve">轿架斜拉杆 </v>
          </cell>
        </row>
        <row r="594">
          <cell r="B594" t="str">
            <v>对重框架立柱</v>
          </cell>
          <cell r="C594" t="str">
            <v>CWT Frame Post</v>
          </cell>
          <cell r="V594" t="str">
            <v xml:space="preserve">对重框架立柱 </v>
          </cell>
        </row>
        <row r="595">
          <cell r="B595" t="str">
            <v>对重框架立柱</v>
          </cell>
          <cell r="C595" t="str">
            <v>CWT Frame Post</v>
          </cell>
          <cell r="V595" t="str">
            <v xml:space="preserve">对重框架立柱 </v>
          </cell>
        </row>
        <row r="596">
          <cell r="B596" t="str">
            <v>对重框架上连接板</v>
          </cell>
          <cell r="C596" t="str">
            <v>Upper Connecting Plate Of CWT</v>
          </cell>
          <cell r="V596" t="str">
            <v xml:space="preserve">对重框架上连接板 </v>
          </cell>
        </row>
        <row r="597">
          <cell r="B597" t="str">
            <v>对重框架上连接板</v>
          </cell>
          <cell r="C597" t="str">
            <v>Upper Connecting Plate Of CWT</v>
          </cell>
          <cell r="V597" t="str">
            <v xml:space="preserve">对重框架上连接板 </v>
          </cell>
        </row>
        <row r="598">
          <cell r="B598" t="str">
            <v>对重框架托梁</v>
          </cell>
          <cell r="C598" t="str">
            <v>CWT Frame Joist</v>
          </cell>
          <cell r="V598" t="str">
            <v xml:space="preserve">对重框架托梁 </v>
          </cell>
        </row>
        <row r="599">
          <cell r="B599" t="str">
            <v>对重框架托梁</v>
          </cell>
          <cell r="C599" t="str">
            <v>CWT Frame Joist</v>
          </cell>
          <cell r="V599" t="str">
            <v xml:space="preserve">对重框架托梁 </v>
          </cell>
        </row>
        <row r="600">
          <cell r="B600" t="str">
            <v>调节座</v>
          </cell>
          <cell r="C600" t="str">
            <v>Adjustment Seat</v>
          </cell>
          <cell r="V600" t="str">
            <v xml:space="preserve">调节座 </v>
          </cell>
        </row>
        <row r="601">
          <cell r="B601" t="str">
            <v>调节座</v>
          </cell>
          <cell r="C601" t="str">
            <v>Adjustment Seat</v>
          </cell>
          <cell r="V601" t="str">
            <v xml:space="preserve">调节座 </v>
          </cell>
        </row>
        <row r="602">
          <cell r="B602" t="str">
            <v>对重块压板</v>
          </cell>
          <cell r="C602" t="str">
            <v>CWT Filler Fixing Plate</v>
          </cell>
          <cell r="V602" t="str">
            <v xml:space="preserve">对重块压板 </v>
          </cell>
        </row>
        <row r="603">
          <cell r="B603" t="str">
            <v>对重块压板</v>
          </cell>
          <cell r="C603" t="str">
            <v>CWT Filler Fixing Plate</v>
          </cell>
          <cell r="V603" t="str">
            <v xml:space="preserve">对重块压板 </v>
          </cell>
        </row>
        <row r="604">
          <cell r="B604" t="str">
            <v>定位卡板</v>
          </cell>
          <cell r="C604" t="str">
            <v>Location Fixing Plate</v>
          </cell>
          <cell r="V604" t="str">
            <v xml:space="preserve">定位卡板 </v>
          </cell>
        </row>
        <row r="605">
          <cell r="B605" t="str">
            <v>定位卡板</v>
          </cell>
          <cell r="C605" t="str">
            <v>Location Fixing Plate</v>
          </cell>
          <cell r="V605" t="str">
            <v xml:space="preserve">定位卡板 </v>
          </cell>
        </row>
        <row r="606">
          <cell r="B606" t="str">
            <v>挡绳杆</v>
          </cell>
          <cell r="C606" t="str">
            <v>Ward Off Rope Rod</v>
          </cell>
          <cell r="V606" t="str">
            <v xml:space="preserve">挡绳杆 </v>
          </cell>
        </row>
        <row r="607">
          <cell r="B607" t="str">
            <v>挡绳杆</v>
          </cell>
          <cell r="C607" t="str">
            <v>Ward Off Rope Rod</v>
          </cell>
          <cell r="V607" t="str">
            <v xml:space="preserve">挡绳杆 </v>
          </cell>
        </row>
        <row r="608">
          <cell r="B608" t="str">
            <v>对重防护栏组件</v>
          </cell>
          <cell r="C608" t="str">
            <v>Pit Protection Grid Assy</v>
          </cell>
          <cell r="V608" t="str">
            <v>对重防护栏组件 Cwt Guide Rail Gauge(mm)-Rail Type</v>
          </cell>
        </row>
        <row r="609">
          <cell r="B609" t="str">
            <v>对重防护栏组件</v>
          </cell>
          <cell r="C609" t="str">
            <v>Pit Protection Grid Assy</v>
          </cell>
          <cell r="V609" t="str">
            <v>对重防护栏组件 CWG1280 TK5A</v>
          </cell>
        </row>
        <row r="610">
          <cell r="B610" t="str">
            <v>对重防护栏框架</v>
          </cell>
          <cell r="C610" t="str">
            <v>Pit Protection Grid Frame</v>
          </cell>
          <cell r="V610" t="str">
            <v xml:space="preserve">对重防护栏框架 </v>
          </cell>
        </row>
        <row r="611">
          <cell r="B611" t="str">
            <v>对重防护栏框架</v>
          </cell>
          <cell r="C611" t="str">
            <v>Pit Protection Grid Frame</v>
          </cell>
          <cell r="V611" t="str">
            <v xml:space="preserve">对重防护栏框架 </v>
          </cell>
        </row>
        <row r="612">
          <cell r="B612" t="str">
            <v>对重防护网</v>
          </cell>
          <cell r="C612" t="str">
            <v>CWT Protecting Mesh</v>
          </cell>
          <cell r="V612" t="str">
            <v xml:space="preserve">对重防护网 </v>
          </cell>
        </row>
        <row r="613">
          <cell r="B613" t="str">
            <v>对重防护网</v>
          </cell>
          <cell r="C613" t="str">
            <v>CWT Protecting Mesh</v>
          </cell>
          <cell r="V613" t="str">
            <v xml:space="preserve">对重防护网 </v>
          </cell>
        </row>
        <row r="614">
          <cell r="B614" t="str">
            <v>门套左立柱</v>
          </cell>
          <cell r="C614" t="str">
            <v>Jamb Left Post</v>
          </cell>
          <cell r="V614" t="str">
            <v>门套左立柱 Door Clear Height(mm)-Surface Finish</v>
          </cell>
        </row>
        <row r="615">
          <cell r="B615" t="str">
            <v>门套左立柱</v>
          </cell>
          <cell r="C615" t="str">
            <v>Jamb Left Post</v>
          </cell>
          <cell r="V615" t="str">
            <v>门套左立柱 DH2100 FS/0.6/HL</v>
          </cell>
        </row>
        <row r="616">
          <cell r="B616" t="str">
            <v>门套右立柱</v>
          </cell>
          <cell r="C616" t="str">
            <v>Jamb Right Post</v>
          </cell>
          <cell r="V616" t="str">
            <v>门套右立柱 Door Clear Height(mm)-Surface Finish</v>
          </cell>
        </row>
        <row r="617">
          <cell r="B617" t="str">
            <v>门套右立柱</v>
          </cell>
          <cell r="C617" t="str">
            <v>Jamb Right Post</v>
          </cell>
          <cell r="V617" t="str">
            <v>门套右立柱 DH2100 FS/0.6/HL</v>
          </cell>
        </row>
        <row r="618">
          <cell r="B618" t="str">
            <v>左立柱底板</v>
          </cell>
          <cell r="C618" t="str">
            <v>Left Post Soleplate</v>
          </cell>
          <cell r="V618" t="str">
            <v xml:space="preserve">左立柱底板 </v>
          </cell>
        </row>
        <row r="619">
          <cell r="B619" t="str">
            <v>左立柱底板</v>
          </cell>
          <cell r="C619" t="str">
            <v>Left Post Soleplate</v>
          </cell>
          <cell r="V619" t="str">
            <v xml:space="preserve">左立柱底板 </v>
          </cell>
        </row>
        <row r="620">
          <cell r="B620" t="str">
            <v>右立柱底板</v>
          </cell>
          <cell r="C620" t="str">
            <v>Right Post Soleplate</v>
          </cell>
          <cell r="V620" t="str">
            <v xml:space="preserve">右立柱底板 </v>
          </cell>
        </row>
        <row r="621">
          <cell r="B621" t="str">
            <v>右立柱底板</v>
          </cell>
          <cell r="C621" t="str">
            <v>Right Post Soleplate</v>
          </cell>
          <cell r="V621" t="str">
            <v xml:space="preserve">右立柱底板 </v>
          </cell>
        </row>
        <row r="622">
          <cell r="B622" t="str">
            <v>随行电缆支架组件</v>
          </cell>
          <cell r="C622" t="str">
            <v>Traveling Cable Bracket Assy</v>
          </cell>
          <cell r="V622" t="str">
            <v xml:space="preserve">随行电缆支架组件 </v>
          </cell>
        </row>
        <row r="623">
          <cell r="B623" t="str">
            <v>随行电缆支架组件</v>
          </cell>
          <cell r="C623" t="str">
            <v>Traveling Cable Bracket Assy</v>
          </cell>
          <cell r="V623" t="str">
            <v xml:space="preserve">随行电缆支架组件 </v>
          </cell>
        </row>
        <row r="624">
          <cell r="B624" t="str">
            <v>随行电缆支架</v>
          </cell>
          <cell r="C624" t="str">
            <v>Traveling Cable Bracket</v>
          </cell>
          <cell r="V624" t="str">
            <v xml:space="preserve">随行电缆支架 </v>
          </cell>
        </row>
        <row r="625">
          <cell r="B625" t="str">
            <v>随行电缆支架</v>
          </cell>
          <cell r="C625" t="str">
            <v>Traveling Cable Bracket</v>
          </cell>
          <cell r="V625" t="str">
            <v xml:space="preserve">随行电缆支架 </v>
          </cell>
        </row>
        <row r="626">
          <cell r="B626" t="str">
            <v>集油盒</v>
          </cell>
          <cell r="C626" t="str">
            <v>Oil Collector</v>
          </cell>
          <cell r="V626" t="str">
            <v>集油盒 Type</v>
          </cell>
        </row>
        <row r="627">
          <cell r="B627" t="str">
            <v>集油盒</v>
          </cell>
          <cell r="C627" t="str">
            <v>Oil Collector</v>
          </cell>
          <cell r="V627" t="str">
            <v>集油盒 YF02X556</v>
          </cell>
        </row>
        <row r="628">
          <cell r="B628" t="str">
            <v>底坑爬梯</v>
          </cell>
          <cell r="C628" t="str">
            <v>Pit Ladder</v>
          </cell>
          <cell r="V628" t="str">
            <v>底坑爬梯 Height(mm)</v>
          </cell>
        </row>
        <row r="629">
          <cell r="B629" t="str">
            <v>底坑爬梯</v>
          </cell>
          <cell r="C629" t="str">
            <v>Pit Ladder</v>
          </cell>
          <cell r="V629" t="str">
            <v>底坑爬梯 H3000</v>
          </cell>
        </row>
        <row r="630">
          <cell r="B630" t="str">
            <v>防锈漆</v>
          </cell>
          <cell r="C630" t="str">
            <v>Anticorrosive Paint</v>
          </cell>
          <cell r="V630" t="str">
            <v>防锈漆 Type-Standard</v>
          </cell>
        </row>
        <row r="631">
          <cell r="B631" t="str">
            <v>防锈漆</v>
          </cell>
          <cell r="C631" t="str">
            <v>Anticorrosive Paint</v>
          </cell>
          <cell r="V631" t="str">
            <v>防锈漆 F53-33 HG/T3350-1987</v>
          </cell>
        </row>
        <row r="632">
          <cell r="B632" t="str">
            <v>导轨油</v>
          </cell>
          <cell r="C632" t="str">
            <v>Rail Lube</v>
          </cell>
          <cell r="V632" t="str">
            <v>导轨油 Type-Standard</v>
          </cell>
        </row>
        <row r="633">
          <cell r="B633" t="str">
            <v>导轨油</v>
          </cell>
          <cell r="C633" t="str">
            <v>Rail Lube</v>
          </cell>
          <cell r="V633" t="str">
            <v>导轨油 L-G46 SH/T 0361-1998</v>
          </cell>
        </row>
        <row r="634">
          <cell r="B634" t="str">
            <v>井道安全隔离网</v>
          </cell>
          <cell r="C634" t="str">
            <v>Hoistway Safety Mesh</v>
          </cell>
          <cell r="V634" t="str">
            <v xml:space="preserve">井道安全隔离网 </v>
          </cell>
        </row>
        <row r="635">
          <cell r="B635" t="str">
            <v>井道安全隔离网</v>
          </cell>
          <cell r="C635" t="str">
            <v>Hoistway Safety Mesh</v>
          </cell>
          <cell r="V635" t="str">
            <v xml:space="preserve">井道安全隔离网 </v>
          </cell>
        </row>
        <row r="636">
          <cell r="B636" t="str">
            <v>橡胶块</v>
          </cell>
          <cell r="C636" t="str">
            <v>Rubber Block</v>
          </cell>
          <cell r="V636" t="str">
            <v xml:space="preserve">橡胶块 </v>
          </cell>
        </row>
        <row r="637">
          <cell r="B637" t="str">
            <v>橡胶块</v>
          </cell>
          <cell r="C637" t="str">
            <v>Rubber Block</v>
          </cell>
          <cell r="V637" t="str">
            <v xml:space="preserve">橡胶块 </v>
          </cell>
        </row>
        <row r="638">
          <cell r="B638" t="str">
            <v>支架</v>
          </cell>
          <cell r="C638" t="str">
            <v>Bracket</v>
          </cell>
          <cell r="V638" t="str">
            <v xml:space="preserve">支架 </v>
          </cell>
        </row>
        <row r="639">
          <cell r="B639" t="str">
            <v>支架</v>
          </cell>
          <cell r="C639" t="str">
            <v>Bracket</v>
          </cell>
          <cell r="V639" t="str">
            <v xml:space="preserve">支架 </v>
          </cell>
        </row>
        <row r="640">
          <cell r="B640" t="str">
            <v>加强筋</v>
          </cell>
          <cell r="C640" t="str">
            <v>Rib</v>
          </cell>
          <cell r="V640" t="str">
            <v xml:space="preserve">加强筋 </v>
          </cell>
        </row>
        <row r="641">
          <cell r="B641" t="str">
            <v>加强筋</v>
          </cell>
          <cell r="C641" t="str">
            <v>Rib</v>
          </cell>
          <cell r="V641" t="str">
            <v xml:space="preserve">加强筋 </v>
          </cell>
        </row>
        <row r="642">
          <cell r="B642" t="str">
            <v>警示标志</v>
          </cell>
          <cell r="C642" t="str">
            <v>Warning Label</v>
          </cell>
          <cell r="V642" t="str">
            <v xml:space="preserve">警示标志 </v>
          </cell>
        </row>
        <row r="643">
          <cell r="B643" t="str">
            <v>警示标志</v>
          </cell>
          <cell r="C643" t="str">
            <v>Warning Label</v>
          </cell>
          <cell r="V643" t="str">
            <v xml:space="preserve">警示标志 </v>
          </cell>
        </row>
        <row r="644">
          <cell r="B644" t="str">
            <v>小垫圈</v>
          </cell>
          <cell r="C644" t="str">
            <v>Small Washer</v>
          </cell>
          <cell r="V644" t="str">
            <v>小垫圈 Spec-Hardness Class-Standard Code</v>
          </cell>
        </row>
        <row r="645">
          <cell r="B645" t="str">
            <v>小垫圈</v>
          </cell>
          <cell r="C645" t="str">
            <v>Small Washer</v>
          </cell>
          <cell r="V645" t="str">
            <v>小垫圈 8 200HV GB/T848</v>
          </cell>
        </row>
        <row r="646">
          <cell r="B646" t="str">
            <v>导轨座</v>
          </cell>
          <cell r="C646" t="str">
            <v>Guide Rail Base</v>
          </cell>
          <cell r="V646" t="str">
            <v>导轨座 Rail Type</v>
          </cell>
        </row>
        <row r="647">
          <cell r="B647" t="str">
            <v>导轨座</v>
          </cell>
          <cell r="C647" t="str">
            <v>Guide Rail Base</v>
          </cell>
          <cell r="V647" t="str">
            <v>导轨座 T89/B</v>
          </cell>
        </row>
        <row r="648">
          <cell r="B648" t="str">
            <v>顶部导轨</v>
          </cell>
          <cell r="C648" t="str">
            <v>Top Guide Rail</v>
          </cell>
          <cell r="V648" t="str">
            <v>顶部导轨 Length(mm)</v>
          </cell>
        </row>
        <row r="649">
          <cell r="B649" t="str">
            <v>顶部导轨</v>
          </cell>
          <cell r="C649" t="str">
            <v>Top Guide Rail</v>
          </cell>
          <cell r="V649" t="str">
            <v>顶部导轨 L1500</v>
          </cell>
        </row>
        <row r="650">
          <cell r="B650" t="str">
            <v>安全窗锁</v>
          </cell>
          <cell r="C650" t="str">
            <v>Trap Door Lock</v>
          </cell>
          <cell r="V650" t="str">
            <v xml:space="preserve">安全窗锁 </v>
          </cell>
        </row>
        <row r="651">
          <cell r="B651" t="str">
            <v>安全窗锁</v>
          </cell>
          <cell r="C651" t="str">
            <v>Trap Door Lock</v>
          </cell>
          <cell r="V651" t="str">
            <v xml:space="preserve">安全窗锁 </v>
          </cell>
        </row>
        <row r="652">
          <cell r="B652" t="str">
            <v>编码器支架</v>
          </cell>
          <cell r="C652" t="str">
            <v>Encoder Bracket</v>
          </cell>
          <cell r="V652" t="str">
            <v xml:space="preserve">编码器支架 </v>
          </cell>
        </row>
        <row r="653">
          <cell r="B653" t="str">
            <v>编码器支架</v>
          </cell>
          <cell r="C653" t="str">
            <v>Encoder Bracket</v>
          </cell>
          <cell r="V653" t="str">
            <v xml:space="preserve">编码器支架 </v>
          </cell>
        </row>
        <row r="654">
          <cell r="B654" t="str">
            <v>轿顶型材</v>
          </cell>
          <cell r="C654" t="str">
            <v>Car Roof Profile</v>
          </cell>
          <cell r="V654" t="str">
            <v>轿顶型材 Length(mm)-Position</v>
          </cell>
        </row>
        <row r="655">
          <cell r="B655" t="str">
            <v>轿顶型材</v>
          </cell>
          <cell r="C655" t="str">
            <v>Car Roof Profile</v>
          </cell>
          <cell r="V655" t="str">
            <v>轿顶型材 L1000 Left</v>
          </cell>
        </row>
        <row r="656">
          <cell r="B656" t="str">
            <v>窗锁支架</v>
          </cell>
          <cell r="C656" t="str">
            <v>Trap Door Lock Bracket</v>
          </cell>
          <cell r="V656" t="str">
            <v xml:space="preserve">窗锁支架 </v>
          </cell>
        </row>
        <row r="657">
          <cell r="B657" t="str">
            <v>窗锁支架</v>
          </cell>
          <cell r="C657" t="str">
            <v>Trap Door Lock Bracket</v>
          </cell>
          <cell r="V657" t="str">
            <v xml:space="preserve">窗锁支架 </v>
          </cell>
        </row>
        <row r="658">
          <cell r="B658" t="str">
            <v>开口销</v>
          </cell>
          <cell r="C658" t="str">
            <v>Split Pin</v>
          </cell>
          <cell r="V658" t="str">
            <v>开口销 Spec-Standard Code</v>
          </cell>
        </row>
        <row r="659">
          <cell r="B659" t="str">
            <v>开口销</v>
          </cell>
          <cell r="C659" t="str">
            <v>Split Pin</v>
          </cell>
          <cell r="V659" t="str">
            <v>开口销 5*50 GB/T91</v>
          </cell>
        </row>
        <row r="660">
          <cell r="B660" t="str">
            <v>随行电缆夹</v>
          </cell>
          <cell r="C660" t="str">
            <v>Traveling Cable Clip</v>
          </cell>
          <cell r="V660" t="str">
            <v xml:space="preserve">随行电缆夹 </v>
          </cell>
        </row>
        <row r="661">
          <cell r="B661" t="str">
            <v>随行电缆夹</v>
          </cell>
          <cell r="C661" t="str">
            <v>Traveling Cable Clip</v>
          </cell>
          <cell r="V661" t="str">
            <v xml:space="preserve">随行电缆夹 </v>
          </cell>
        </row>
        <row r="662">
          <cell r="B662" t="str">
            <v>小门套</v>
          </cell>
          <cell r="C662" t="str">
            <v>L/N Jamb</v>
          </cell>
          <cell r="V662" t="str">
            <v>小门套 Type-Openning Direction-Door Clear Width(mm)-Door Clear Height(mm)-Surface Finish</v>
          </cell>
        </row>
        <row r="663">
          <cell r="B663" t="str">
            <v>小门套</v>
          </cell>
          <cell r="C663" t="str">
            <v>L/N Jamb</v>
          </cell>
          <cell r="V663" t="str">
            <v>小门套 S200 CO DW800 DH2100 FS/HL</v>
          </cell>
        </row>
        <row r="664">
          <cell r="B664" t="str">
            <v>厅门护脚板</v>
          </cell>
          <cell r="C664" t="str">
            <v>L/Door Apron</v>
          </cell>
          <cell r="V664" t="str">
            <v>厅门护脚板 Door Clear Width(mm)</v>
          </cell>
        </row>
        <row r="665">
          <cell r="B665" t="str">
            <v>厅门护脚板</v>
          </cell>
          <cell r="C665" t="str">
            <v>L/Door Apron</v>
          </cell>
          <cell r="V665" t="str">
            <v>厅门护脚板 DW800</v>
          </cell>
        </row>
        <row r="666">
          <cell r="B666" t="str">
            <v>轿门护脚板</v>
          </cell>
          <cell r="C666" t="str">
            <v>C/Door Apron</v>
          </cell>
          <cell r="V666" t="str">
            <v>轿门护脚板 Door Clear Width(mm)</v>
          </cell>
        </row>
        <row r="667">
          <cell r="B667" t="str">
            <v>轿门护脚板</v>
          </cell>
          <cell r="C667" t="str">
            <v>C/Door Apron</v>
          </cell>
          <cell r="V667" t="str">
            <v>轿门护脚板 DW800</v>
          </cell>
        </row>
        <row r="668">
          <cell r="B668" t="str">
            <v>防护罩座</v>
          </cell>
          <cell r="C668" t="str">
            <v>Cover Base</v>
          </cell>
          <cell r="V668" t="str">
            <v xml:space="preserve">防护罩座 </v>
          </cell>
        </row>
        <row r="669">
          <cell r="B669" t="str">
            <v>防护罩座</v>
          </cell>
          <cell r="C669" t="str">
            <v>Cover Base</v>
          </cell>
          <cell r="V669" t="str">
            <v xml:space="preserve">防护罩座 </v>
          </cell>
        </row>
        <row r="670">
          <cell r="B670" t="str">
            <v>横杆</v>
          </cell>
          <cell r="C670" t="str">
            <v>Cross Rod</v>
          </cell>
          <cell r="V670" t="str">
            <v xml:space="preserve">横杆 </v>
          </cell>
        </row>
        <row r="671">
          <cell r="B671" t="str">
            <v>横杆</v>
          </cell>
          <cell r="C671" t="str">
            <v>Cross Rod</v>
          </cell>
          <cell r="V671" t="str">
            <v xml:space="preserve">横杆 </v>
          </cell>
        </row>
        <row r="672">
          <cell r="B672" t="str">
            <v>侧板</v>
          </cell>
          <cell r="C672" t="str">
            <v>Side Plate</v>
          </cell>
          <cell r="V672" t="str">
            <v xml:space="preserve">侧板 </v>
          </cell>
        </row>
        <row r="673">
          <cell r="B673" t="str">
            <v>侧板</v>
          </cell>
          <cell r="C673" t="str">
            <v>Side Plate</v>
          </cell>
          <cell r="V673" t="str">
            <v xml:space="preserve">侧板 </v>
          </cell>
        </row>
        <row r="674">
          <cell r="B674" t="str">
            <v>防尘板</v>
          </cell>
          <cell r="C674" t="str">
            <v>Dustproof Plate</v>
          </cell>
          <cell r="V674" t="str">
            <v xml:space="preserve">防尘板 </v>
          </cell>
        </row>
        <row r="675">
          <cell r="B675" t="str">
            <v>防尘板</v>
          </cell>
          <cell r="C675" t="str">
            <v>Dustproof Plate</v>
          </cell>
          <cell r="V675" t="str">
            <v xml:space="preserve">防尘板 </v>
          </cell>
        </row>
        <row r="676">
          <cell r="B676" t="str">
            <v>右挡板</v>
          </cell>
          <cell r="C676" t="str">
            <v>Right Baffle</v>
          </cell>
          <cell r="V676" t="str">
            <v xml:space="preserve">右挡板 </v>
          </cell>
        </row>
        <row r="677">
          <cell r="B677" t="str">
            <v>右挡板</v>
          </cell>
          <cell r="C677" t="str">
            <v>Right Baffle</v>
          </cell>
          <cell r="V677" t="str">
            <v xml:space="preserve">右挡板 </v>
          </cell>
        </row>
        <row r="678">
          <cell r="B678" t="str">
            <v>左挡板</v>
          </cell>
          <cell r="C678" t="str">
            <v>Left Baffle</v>
          </cell>
          <cell r="V678" t="str">
            <v xml:space="preserve">左挡板 </v>
          </cell>
        </row>
        <row r="679">
          <cell r="B679" t="str">
            <v>左挡板</v>
          </cell>
          <cell r="C679" t="str">
            <v>Left Baffle</v>
          </cell>
          <cell r="V679" t="str">
            <v xml:space="preserve">左挡板 </v>
          </cell>
        </row>
        <row r="680">
          <cell r="B680" t="str">
            <v>弯板</v>
          </cell>
          <cell r="C680" t="str">
            <v>Bending Plate</v>
          </cell>
          <cell r="V680" t="str">
            <v xml:space="preserve">弯板 </v>
          </cell>
        </row>
        <row r="681">
          <cell r="B681" t="str">
            <v>弯板</v>
          </cell>
          <cell r="C681" t="str">
            <v>Bending Plate</v>
          </cell>
          <cell r="V681" t="str">
            <v xml:space="preserve">弯板 </v>
          </cell>
        </row>
        <row r="682">
          <cell r="B682" t="str">
            <v>安全防护板</v>
          </cell>
          <cell r="C682" t="str">
            <v>Safety Guard Plate</v>
          </cell>
          <cell r="V682" t="str">
            <v xml:space="preserve">安全防护板 </v>
          </cell>
        </row>
        <row r="683">
          <cell r="B683" t="str">
            <v>安全防护板</v>
          </cell>
          <cell r="C683" t="str">
            <v>Safety Guard Plate</v>
          </cell>
          <cell r="V683" t="str">
            <v xml:space="preserve">安全防护板 </v>
          </cell>
        </row>
        <row r="684">
          <cell r="B684" t="str">
            <v>制动弹簧</v>
          </cell>
          <cell r="C684" t="str">
            <v>Brake Spring</v>
          </cell>
          <cell r="V684" t="str">
            <v>制动弹簧 Coil Dia.(mm)-Length(mm)</v>
          </cell>
        </row>
        <row r="685">
          <cell r="B685" t="str">
            <v>制动弹簧</v>
          </cell>
          <cell r="C685" t="str">
            <v>Brake Spring</v>
          </cell>
          <cell r="V685" t="str">
            <v>制动弹簧 d10 L150</v>
          </cell>
        </row>
        <row r="686">
          <cell r="B686" t="str">
            <v>电磁铁铭牌</v>
          </cell>
          <cell r="C686" t="str">
            <v>Electromagnet Nameplate</v>
          </cell>
          <cell r="V686" t="str">
            <v>电磁铁铭牌 Language</v>
          </cell>
        </row>
        <row r="687">
          <cell r="B687" t="str">
            <v>电磁铁铭牌</v>
          </cell>
          <cell r="C687" t="str">
            <v>Electromagnet Nameplate</v>
          </cell>
          <cell r="V687" t="str">
            <v>电磁铁铭牌 EN</v>
          </cell>
        </row>
        <row r="688">
          <cell r="B688" t="str">
            <v>沉头铆钉</v>
          </cell>
          <cell r="C688" t="str">
            <v>Countersunk Rivet</v>
          </cell>
          <cell r="V688" t="str">
            <v>沉头铆钉 Spec-Standard Code-Material</v>
          </cell>
        </row>
        <row r="689">
          <cell r="B689" t="str">
            <v>沉头铆钉</v>
          </cell>
          <cell r="C689" t="str">
            <v>Countersunk Rivet</v>
          </cell>
          <cell r="V689" t="str">
            <v>沉头铆钉 5*30 GB/T869 RedCopper</v>
          </cell>
        </row>
        <row r="690">
          <cell r="B690" t="str">
            <v>弹性圆柱销</v>
          </cell>
          <cell r="C690" t="str">
            <v>Spring Straight Pin</v>
          </cell>
          <cell r="V690" t="str">
            <v>弹性圆柱销 Spec-Standard Code</v>
          </cell>
        </row>
        <row r="691">
          <cell r="B691" t="str">
            <v>弹性圆柱销</v>
          </cell>
          <cell r="C691" t="str">
            <v>Spring Straight Pin</v>
          </cell>
          <cell r="V691" t="str">
            <v>弹性圆柱销 6*30 GB/T879.1</v>
          </cell>
        </row>
        <row r="692">
          <cell r="B692" t="str">
            <v>U型螺栓组件</v>
          </cell>
          <cell r="C692" t="str">
            <v>U Type Bolt Assy</v>
          </cell>
          <cell r="V692" t="str">
            <v xml:space="preserve">U型螺栓组件 </v>
          </cell>
        </row>
        <row r="693">
          <cell r="B693" t="str">
            <v>U型螺栓组件</v>
          </cell>
          <cell r="C693" t="str">
            <v>U Type Bolt Assy</v>
          </cell>
          <cell r="V693" t="str">
            <v xml:space="preserve">U型螺栓组件 </v>
          </cell>
        </row>
        <row r="694">
          <cell r="B694" t="str">
            <v>U型螺栓</v>
          </cell>
          <cell r="C694" t="str">
            <v>U Type Bolt</v>
          </cell>
          <cell r="V694" t="str">
            <v xml:space="preserve">U型螺栓 </v>
          </cell>
        </row>
        <row r="695">
          <cell r="B695" t="str">
            <v>U型螺栓</v>
          </cell>
          <cell r="C695" t="str">
            <v>U Type Bolt</v>
          </cell>
          <cell r="V695" t="str">
            <v xml:space="preserve">U型螺栓 </v>
          </cell>
        </row>
        <row r="696">
          <cell r="B696" t="str">
            <v>固定板</v>
          </cell>
          <cell r="C696" t="str">
            <v>Fixing Plate</v>
          </cell>
          <cell r="V696" t="str">
            <v xml:space="preserve">固定板 </v>
          </cell>
        </row>
        <row r="697">
          <cell r="B697" t="str">
            <v>固定板</v>
          </cell>
          <cell r="C697" t="str">
            <v>Fixing Plate</v>
          </cell>
          <cell r="V697" t="str">
            <v xml:space="preserve">固定板 </v>
          </cell>
        </row>
        <row r="698">
          <cell r="B698" t="str">
            <v>横梁</v>
          </cell>
          <cell r="C698" t="str">
            <v>Transom</v>
          </cell>
          <cell r="V698" t="str">
            <v xml:space="preserve">横梁 </v>
          </cell>
        </row>
        <row r="699">
          <cell r="B699" t="str">
            <v>横梁</v>
          </cell>
          <cell r="C699" t="str">
            <v>Transom</v>
          </cell>
          <cell r="V699" t="str">
            <v xml:space="preserve">横梁 </v>
          </cell>
        </row>
        <row r="700">
          <cell r="B700" t="str">
            <v>垫板</v>
          </cell>
          <cell r="C700" t="str">
            <v>Liner Plate</v>
          </cell>
          <cell r="V700" t="str">
            <v xml:space="preserve">垫板 </v>
          </cell>
        </row>
        <row r="701">
          <cell r="B701" t="str">
            <v>垫板</v>
          </cell>
          <cell r="C701" t="str">
            <v>Liner Plate</v>
          </cell>
          <cell r="V701" t="str">
            <v xml:space="preserve">垫板 </v>
          </cell>
        </row>
        <row r="702">
          <cell r="B702" t="str">
            <v>楔套</v>
          </cell>
          <cell r="C702" t="str">
            <v>Wedge Socket</v>
          </cell>
          <cell r="V702" t="str">
            <v xml:space="preserve">楔套 </v>
          </cell>
        </row>
        <row r="703">
          <cell r="B703" t="str">
            <v>楔套</v>
          </cell>
          <cell r="C703" t="str">
            <v>Wedge Socket</v>
          </cell>
          <cell r="V703" t="str">
            <v xml:space="preserve">楔套 </v>
          </cell>
        </row>
        <row r="704">
          <cell r="B704" t="str">
            <v>楔</v>
          </cell>
          <cell r="C704" t="str">
            <v>Wedge</v>
          </cell>
          <cell r="V704" t="str">
            <v xml:space="preserve">楔 </v>
          </cell>
        </row>
        <row r="705">
          <cell r="B705" t="str">
            <v>楔</v>
          </cell>
          <cell r="C705" t="str">
            <v>Wedge</v>
          </cell>
          <cell r="V705" t="str">
            <v xml:space="preserve">楔 </v>
          </cell>
        </row>
        <row r="706">
          <cell r="B706" t="str">
            <v>连接轴</v>
          </cell>
          <cell r="C706" t="str">
            <v>Connection Axle</v>
          </cell>
          <cell r="V706" t="str">
            <v xml:space="preserve">连接轴 </v>
          </cell>
        </row>
        <row r="707">
          <cell r="B707" t="str">
            <v>连接轴</v>
          </cell>
          <cell r="C707" t="str">
            <v>Connection Axle</v>
          </cell>
          <cell r="V707" t="str">
            <v xml:space="preserve">连接轴 </v>
          </cell>
        </row>
        <row r="708">
          <cell r="B708" t="str">
            <v>尼龙垫圈</v>
          </cell>
          <cell r="C708" t="str">
            <v>Nylon Washer</v>
          </cell>
          <cell r="V708" t="str">
            <v xml:space="preserve">尼龙垫圈 </v>
          </cell>
        </row>
        <row r="709">
          <cell r="B709" t="str">
            <v>尼龙垫圈</v>
          </cell>
          <cell r="C709" t="str">
            <v>Nylon Washer</v>
          </cell>
          <cell r="V709" t="str">
            <v xml:space="preserve">尼龙垫圈 </v>
          </cell>
        </row>
        <row r="710">
          <cell r="B710" t="str">
            <v>挡环</v>
          </cell>
          <cell r="C710" t="str">
            <v>Baffle Ring</v>
          </cell>
          <cell r="V710" t="str">
            <v xml:space="preserve">挡环 </v>
          </cell>
        </row>
        <row r="711">
          <cell r="B711" t="str">
            <v>挡环</v>
          </cell>
          <cell r="C711" t="str">
            <v>Baffle Ring</v>
          </cell>
          <cell r="V711" t="str">
            <v xml:space="preserve">挡环 </v>
          </cell>
        </row>
        <row r="712">
          <cell r="B712" t="str">
            <v>底板</v>
          </cell>
          <cell r="C712" t="str">
            <v>Soleplate</v>
          </cell>
          <cell r="V712" t="str">
            <v xml:space="preserve">底板 </v>
          </cell>
        </row>
        <row r="713">
          <cell r="B713" t="str">
            <v>底板</v>
          </cell>
          <cell r="C713" t="str">
            <v>Soleplate</v>
          </cell>
          <cell r="V713" t="str">
            <v xml:space="preserve">底板 </v>
          </cell>
        </row>
        <row r="714">
          <cell r="B714" t="str">
            <v>固定杆</v>
          </cell>
          <cell r="C714" t="str">
            <v>Fixing Rod</v>
          </cell>
          <cell r="V714" t="str">
            <v xml:space="preserve">固定杆 </v>
          </cell>
        </row>
        <row r="715">
          <cell r="B715" t="str">
            <v>固定杆</v>
          </cell>
          <cell r="C715" t="str">
            <v>Fixing Rod</v>
          </cell>
          <cell r="V715" t="str">
            <v xml:space="preserve">固定杆 </v>
          </cell>
        </row>
        <row r="716">
          <cell r="B716" t="str">
            <v>提拉机构</v>
          </cell>
          <cell r="C716" t="str">
            <v>Pulling Mechanism</v>
          </cell>
          <cell r="V716" t="str">
            <v xml:space="preserve">提拉机构 </v>
          </cell>
        </row>
        <row r="717">
          <cell r="B717" t="str">
            <v>提拉机构</v>
          </cell>
          <cell r="C717" t="str">
            <v>Pulling Mechanism</v>
          </cell>
          <cell r="V717" t="str">
            <v xml:space="preserve">提拉机构 </v>
          </cell>
        </row>
        <row r="718">
          <cell r="B718" t="str">
            <v>上梁槽钢</v>
          </cell>
          <cell r="C718" t="str">
            <v>Top Beam Channel</v>
          </cell>
          <cell r="V718" t="str">
            <v xml:space="preserve">上梁槽钢 </v>
          </cell>
        </row>
        <row r="719">
          <cell r="B719" t="str">
            <v>上梁槽钢</v>
          </cell>
          <cell r="C719" t="str">
            <v>Top Beam Channel</v>
          </cell>
          <cell r="V719" t="str">
            <v xml:space="preserve">上梁槽钢 </v>
          </cell>
        </row>
        <row r="720">
          <cell r="B720" t="str">
            <v>下梁槽钢</v>
          </cell>
          <cell r="C720" t="str">
            <v>Bottom Beam Channel</v>
          </cell>
          <cell r="V720" t="str">
            <v xml:space="preserve">下梁槽钢 </v>
          </cell>
        </row>
        <row r="721">
          <cell r="B721" t="str">
            <v>下梁槽钢</v>
          </cell>
          <cell r="C721" t="str">
            <v>Bottom Beam Channel</v>
          </cell>
          <cell r="V721" t="str">
            <v xml:space="preserve">下梁槽钢 </v>
          </cell>
        </row>
        <row r="722">
          <cell r="B722" t="str">
            <v>连杆转板</v>
          </cell>
          <cell r="C722" t="str">
            <v>Force-loading Plate</v>
          </cell>
          <cell r="V722" t="str">
            <v xml:space="preserve">连杆转板 </v>
          </cell>
        </row>
        <row r="723">
          <cell r="B723" t="str">
            <v>连杆转板</v>
          </cell>
          <cell r="C723" t="str">
            <v>Force-loading Plate</v>
          </cell>
          <cell r="V723" t="str">
            <v xml:space="preserve">连杆转板 </v>
          </cell>
        </row>
        <row r="724">
          <cell r="B724" t="str">
            <v>端板组件</v>
          </cell>
          <cell r="C724" t="str">
            <v>End Plate Assy</v>
          </cell>
          <cell r="V724" t="str">
            <v xml:space="preserve">端板组件 </v>
          </cell>
        </row>
        <row r="725">
          <cell r="B725" t="str">
            <v>端板组件</v>
          </cell>
          <cell r="C725" t="str">
            <v>End Plate Assy</v>
          </cell>
          <cell r="V725" t="str">
            <v xml:space="preserve">端板组件 </v>
          </cell>
        </row>
        <row r="726">
          <cell r="B726" t="str">
            <v>端板</v>
          </cell>
          <cell r="C726" t="str">
            <v>End Plate</v>
          </cell>
          <cell r="V726" t="str">
            <v xml:space="preserve">端板 </v>
          </cell>
        </row>
        <row r="727">
          <cell r="B727" t="str">
            <v>端板</v>
          </cell>
          <cell r="C727" t="str">
            <v>End Plate</v>
          </cell>
          <cell r="V727" t="str">
            <v xml:space="preserve">端板 </v>
          </cell>
        </row>
        <row r="728">
          <cell r="B728" t="str">
            <v>导向装置组件</v>
          </cell>
          <cell r="C728" t="str">
            <v>Guide Device Assy</v>
          </cell>
          <cell r="V728" t="str">
            <v xml:space="preserve">导向装置组件 </v>
          </cell>
        </row>
        <row r="729">
          <cell r="B729" t="str">
            <v>导向装置组件</v>
          </cell>
          <cell r="C729" t="str">
            <v>Guide Device Assy</v>
          </cell>
          <cell r="V729" t="str">
            <v xml:space="preserve">导向装置组件 </v>
          </cell>
        </row>
        <row r="730">
          <cell r="B730" t="str">
            <v>导向装置</v>
          </cell>
          <cell r="C730" t="str">
            <v>Guide Device</v>
          </cell>
          <cell r="V730" t="str">
            <v xml:space="preserve">导向装置 </v>
          </cell>
        </row>
        <row r="731">
          <cell r="B731" t="str">
            <v>导向装置</v>
          </cell>
          <cell r="C731" t="str">
            <v>Guide Device</v>
          </cell>
          <cell r="V731" t="str">
            <v xml:space="preserve">导向装置 </v>
          </cell>
        </row>
        <row r="732">
          <cell r="B732" t="str">
            <v>平衡块挡板组件</v>
          </cell>
          <cell r="C732" t="str">
            <v>Balance Filler Baffle Assy</v>
          </cell>
          <cell r="V732" t="str">
            <v xml:space="preserve">平衡块挡板组件 </v>
          </cell>
        </row>
        <row r="733">
          <cell r="B733" t="str">
            <v>平衡块挡板组件</v>
          </cell>
          <cell r="C733" t="str">
            <v>Balance Filler Baffle Assy</v>
          </cell>
          <cell r="V733" t="str">
            <v xml:space="preserve">平衡块挡板组件 </v>
          </cell>
        </row>
        <row r="734">
          <cell r="B734" t="str">
            <v>轿底板</v>
          </cell>
          <cell r="C734" t="str">
            <v>Car Floor Plate</v>
          </cell>
          <cell r="V734" t="str">
            <v xml:space="preserve">轿底板 </v>
          </cell>
        </row>
        <row r="735">
          <cell r="B735" t="str">
            <v>轿底板</v>
          </cell>
          <cell r="C735" t="str">
            <v>Car Floor Plate</v>
          </cell>
          <cell r="V735" t="str">
            <v xml:space="preserve">轿底板 </v>
          </cell>
        </row>
        <row r="736">
          <cell r="B736" t="str">
            <v>吊环螺钉</v>
          </cell>
          <cell r="C736" t="str">
            <v>Eyebolt</v>
          </cell>
          <cell r="V736" t="str">
            <v>吊环螺钉 Spec-Standard Code</v>
          </cell>
        </row>
        <row r="737">
          <cell r="B737" t="str">
            <v>吊环螺钉</v>
          </cell>
          <cell r="C737" t="str">
            <v>Eyebolt</v>
          </cell>
          <cell r="V737" t="str">
            <v>吊环螺钉 M20 GB/T825</v>
          </cell>
        </row>
        <row r="738">
          <cell r="B738" t="str">
            <v>滚花螺钉</v>
          </cell>
          <cell r="C738" t="str">
            <v>Knurled Screw</v>
          </cell>
          <cell r="V738" t="str">
            <v>滚花螺钉 Spec-Standard Code</v>
          </cell>
        </row>
        <row r="739">
          <cell r="B739" t="str">
            <v>滚花螺钉</v>
          </cell>
          <cell r="C739" t="str">
            <v>Knurled Screw</v>
          </cell>
          <cell r="V739" t="str">
            <v>滚花螺钉 M5*20 GB/T834</v>
          </cell>
        </row>
        <row r="740">
          <cell r="B740" t="str">
            <v>减震装置标识</v>
          </cell>
          <cell r="C740" t="str">
            <v>Vibrating Absorber Label</v>
          </cell>
          <cell r="V740" t="str">
            <v xml:space="preserve">减震装置标识 </v>
          </cell>
        </row>
        <row r="741">
          <cell r="B741" t="str">
            <v>减震装置标识</v>
          </cell>
          <cell r="C741" t="str">
            <v>Vibrating Absorber Label</v>
          </cell>
          <cell r="V741" t="str">
            <v xml:space="preserve">减震装置标识 </v>
          </cell>
        </row>
        <row r="742">
          <cell r="B742" t="str">
            <v>销栓</v>
          </cell>
          <cell r="C742" t="str">
            <v>Cotter with Screw</v>
          </cell>
          <cell r="V742" t="str">
            <v xml:space="preserve">销栓 </v>
          </cell>
        </row>
        <row r="743">
          <cell r="B743" t="str">
            <v>销栓</v>
          </cell>
          <cell r="C743" t="str">
            <v>Cotter with Screw</v>
          </cell>
          <cell r="V743" t="str">
            <v xml:space="preserve">销栓 </v>
          </cell>
        </row>
        <row r="744">
          <cell r="B744" t="str">
            <v>支撑槽钢</v>
          </cell>
          <cell r="C744" t="str">
            <v>Support Channel</v>
          </cell>
          <cell r="V744" t="str">
            <v xml:space="preserve">支撑槽钢 </v>
          </cell>
        </row>
        <row r="745">
          <cell r="B745" t="str">
            <v>支撑槽钢</v>
          </cell>
          <cell r="C745" t="str">
            <v>Support Channel</v>
          </cell>
          <cell r="V745" t="str">
            <v xml:space="preserve">支撑槽钢 </v>
          </cell>
        </row>
        <row r="746">
          <cell r="B746" t="str">
            <v>上连接板</v>
          </cell>
          <cell r="C746" t="str">
            <v xml:space="preserve"> Up Connection Plate</v>
          </cell>
          <cell r="V746" t="str">
            <v xml:space="preserve">上连接板 </v>
          </cell>
        </row>
        <row r="747">
          <cell r="B747" t="str">
            <v>上连接板</v>
          </cell>
          <cell r="C747" t="str">
            <v>Up Connection Plate</v>
          </cell>
          <cell r="V747" t="str">
            <v xml:space="preserve">上连接板 </v>
          </cell>
        </row>
        <row r="748">
          <cell r="B748" t="str">
            <v>下连接板</v>
          </cell>
          <cell r="C748" t="str">
            <v>Down Connection Plate</v>
          </cell>
          <cell r="V748" t="str">
            <v xml:space="preserve">下连接板 </v>
          </cell>
        </row>
        <row r="749">
          <cell r="B749" t="str">
            <v>下连接板</v>
          </cell>
          <cell r="C749" t="str">
            <v>Down Connection Plate</v>
          </cell>
          <cell r="V749" t="str">
            <v xml:space="preserve">下连接板 </v>
          </cell>
        </row>
        <row r="750">
          <cell r="B750" t="str">
            <v>左连接板</v>
          </cell>
          <cell r="C750" t="str">
            <v xml:space="preserve"> Left Connection Plate</v>
          </cell>
          <cell r="V750" t="str">
            <v xml:space="preserve">左连接板 </v>
          </cell>
        </row>
        <row r="751">
          <cell r="B751" t="str">
            <v>左连接板</v>
          </cell>
          <cell r="C751" t="str">
            <v>Left Connection Plate</v>
          </cell>
          <cell r="V751" t="str">
            <v xml:space="preserve">左连接板 </v>
          </cell>
        </row>
        <row r="752">
          <cell r="B752" t="str">
            <v>右连接板</v>
          </cell>
          <cell r="C752" t="str">
            <v>Right Connection Plate</v>
          </cell>
          <cell r="V752" t="str">
            <v xml:space="preserve">右连接板 </v>
          </cell>
        </row>
        <row r="753">
          <cell r="B753" t="str">
            <v>右连接板</v>
          </cell>
          <cell r="C753" t="str">
            <v>Right Connection Plate</v>
          </cell>
          <cell r="V753" t="str">
            <v xml:space="preserve">右连接板 </v>
          </cell>
        </row>
        <row r="754">
          <cell r="B754" t="str">
            <v>垫圈</v>
          </cell>
          <cell r="C754" t="str">
            <v>Washer</v>
          </cell>
          <cell r="V754" t="str">
            <v xml:space="preserve">垫圈 </v>
          </cell>
        </row>
        <row r="755">
          <cell r="B755" t="str">
            <v>垫圈</v>
          </cell>
          <cell r="C755" t="str">
            <v>Washer</v>
          </cell>
          <cell r="V755" t="str">
            <v xml:space="preserve">垫圈 </v>
          </cell>
        </row>
        <row r="756">
          <cell r="B756" t="str">
            <v>称重支架</v>
          </cell>
          <cell r="C756" t="str">
            <v>Weighing Bracket</v>
          </cell>
          <cell r="V756" t="str">
            <v xml:space="preserve">称重支架 </v>
          </cell>
        </row>
        <row r="757">
          <cell r="B757" t="str">
            <v>称重支架</v>
          </cell>
          <cell r="C757" t="str">
            <v>Weighing Bracket</v>
          </cell>
          <cell r="V757" t="str">
            <v xml:space="preserve">称重支架 </v>
          </cell>
        </row>
        <row r="758">
          <cell r="B758" t="str">
            <v>传感器支架</v>
          </cell>
          <cell r="C758" t="str">
            <v>Sensor Bracket</v>
          </cell>
          <cell r="V758" t="str">
            <v xml:space="preserve">传感器支架 </v>
          </cell>
        </row>
        <row r="759">
          <cell r="B759" t="str">
            <v>传感器支架</v>
          </cell>
          <cell r="C759" t="str">
            <v>Sensor Bracket</v>
          </cell>
          <cell r="V759" t="str">
            <v xml:space="preserve">传感器支架 </v>
          </cell>
        </row>
        <row r="760">
          <cell r="B760" t="str">
            <v>对重框架</v>
          </cell>
          <cell r="C760" t="str">
            <v>CWT Frame</v>
          </cell>
          <cell r="V760" t="str">
            <v>对重框架 Traction Ratio-Cwt Gauge(mm)</v>
          </cell>
        </row>
        <row r="761">
          <cell r="B761" t="str">
            <v>对重框架</v>
          </cell>
          <cell r="C761" t="str">
            <v>CWT Frame</v>
          </cell>
          <cell r="V761" t="str">
            <v>对重框架 2:1 CWG1280</v>
          </cell>
        </row>
        <row r="762">
          <cell r="B762" t="str">
            <v>靴衬</v>
          </cell>
          <cell r="C762" t="str">
            <v>Guide Shoe Liner</v>
          </cell>
          <cell r="V762" t="str">
            <v xml:space="preserve">靴衬 </v>
          </cell>
        </row>
        <row r="763">
          <cell r="B763" t="str">
            <v>靴衬</v>
          </cell>
          <cell r="C763" t="str">
            <v>Guide Shoe Liner</v>
          </cell>
          <cell r="V763" t="str">
            <v xml:space="preserve">靴衬 </v>
          </cell>
        </row>
        <row r="764">
          <cell r="B764" t="str">
            <v>门电机组件</v>
          </cell>
          <cell r="C764" t="str">
            <v>Door Machine Assy</v>
          </cell>
          <cell r="V764" t="str">
            <v>门电机组件 Type-Door Type</v>
          </cell>
        </row>
        <row r="765">
          <cell r="B765" t="str">
            <v>门电机组件</v>
          </cell>
          <cell r="C765" t="str">
            <v>Door Machine Assy</v>
          </cell>
          <cell r="V765" t="str">
            <v>门电机组件 125ST-13 K300</v>
          </cell>
        </row>
        <row r="766">
          <cell r="B766" t="str">
            <v>右立柱装饰板</v>
          </cell>
          <cell r="C766" t="str">
            <v>Right Post Decoration Plate</v>
          </cell>
          <cell r="V766" t="str">
            <v>右立柱装饰板 Type-Door Clear Opening Width(mm)-Surface Finish</v>
          </cell>
        </row>
        <row r="767">
          <cell r="B767" t="str">
            <v>右立柱装饰板</v>
          </cell>
          <cell r="C767" t="str">
            <v>Right Post Decoration Plate</v>
          </cell>
          <cell r="V767" t="str">
            <v>右立柱装饰板 S200 DH2100 FS/0.6/HL</v>
          </cell>
        </row>
        <row r="768">
          <cell r="B768" t="str">
            <v>左立柱装饰板</v>
          </cell>
          <cell r="C768" t="str">
            <v>Left Post Decoration Plate</v>
          </cell>
          <cell r="V768" t="str">
            <v>左立柱装饰板 Type-Door Clear Opening Width(mm)-Surface Finish</v>
          </cell>
        </row>
        <row r="769">
          <cell r="B769" t="str">
            <v>左立柱装饰板</v>
          </cell>
          <cell r="C769" t="str">
            <v>Left Post Decoration Plate</v>
          </cell>
          <cell r="V769" t="str">
            <v>左立柱装饰板 S200 DH2100 SUS304/0.6/HL</v>
          </cell>
        </row>
        <row r="770">
          <cell r="B770" t="str">
            <v>地坎托架固定槽</v>
          </cell>
          <cell r="C770" t="str">
            <v>Sill Support Fixing Trough</v>
          </cell>
          <cell r="V770" t="str">
            <v xml:space="preserve">地坎托架固定槽 </v>
          </cell>
        </row>
        <row r="771">
          <cell r="B771" t="str">
            <v>地坎托架固定槽</v>
          </cell>
          <cell r="C771" t="str">
            <v>Sill Support Fixing Trough</v>
          </cell>
          <cell r="V771" t="str">
            <v xml:space="preserve">地坎托架固定槽 </v>
          </cell>
        </row>
        <row r="772">
          <cell r="B772" t="str">
            <v>插片螺母</v>
          </cell>
          <cell r="C772" t="str">
            <v>Inserting Nut</v>
          </cell>
          <cell r="V772" t="str">
            <v xml:space="preserve">插片螺母 </v>
          </cell>
        </row>
        <row r="773">
          <cell r="B773" t="str">
            <v>插片螺母</v>
          </cell>
          <cell r="C773" t="str">
            <v>Inserting Nut</v>
          </cell>
          <cell r="V773" t="str">
            <v xml:space="preserve">插片螺母 </v>
          </cell>
        </row>
        <row r="774">
          <cell r="B774" t="str">
            <v>锁梯装置</v>
          </cell>
          <cell r="C774" t="str">
            <v>Lock Lift Device</v>
          </cell>
          <cell r="V774" t="str">
            <v xml:space="preserve">锁梯装置 </v>
          </cell>
        </row>
        <row r="775">
          <cell r="B775" t="str">
            <v>锁梯装置</v>
          </cell>
          <cell r="C775" t="str">
            <v>Lock Lift Device</v>
          </cell>
          <cell r="V775" t="str">
            <v xml:space="preserve">锁梯装置 </v>
          </cell>
        </row>
        <row r="776">
          <cell r="B776" t="str">
            <v>插销</v>
          </cell>
          <cell r="C776" t="str">
            <v>Plug</v>
          </cell>
          <cell r="V776" t="str">
            <v xml:space="preserve">插销 </v>
          </cell>
        </row>
        <row r="777">
          <cell r="B777" t="str">
            <v>插销</v>
          </cell>
          <cell r="C777" t="str">
            <v>Plug</v>
          </cell>
          <cell r="V777" t="str">
            <v xml:space="preserve">插销 </v>
          </cell>
        </row>
        <row r="778">
          <cell r="B778" t="str">
            <v>上梁</v>
          </cell>
          <cell r="C778" t="str">
            <v>Top Beam</v>
          </cell>
          <cell r="V778" t="str">
            <v xml:space="preserve">上梁 </v>
          </cell>
        </row>
        <row r="779">
          <cell r="B779" t="str">
            <v>上梁</v>
          </cell>
          <cell r="C779" t="str">
            <v>Top Beam</v>
          </cell>
          <cell r="V779" t="str">
            <v xml:space="preserve">上梁 </v>
          </cell>
        </row>
        <row r="780">
          <cell r="B780" t="str">
            <v>锁紧垫圈</v>
          </cell>
          <cell r="C780" t="str">
            <v>Lock Washer</v>
          </cell>
          <cell r="V780" t="str">
            <v>锁紧垫圈 Spec-Standard Code</v>
          </cell>
        </row>
        <row r="781">
          <cell r="B781" t="str">
            <v>锁紧垫圈</v>
          </cell>
          <cell r="C781" t="str">
            <v>Lock Washer</v>
          </cell>
          <cell r="V781" t="str">
            <v>锁紧垫圈 6 GB/T861.1</v>
          </cell>
        </row>
        <row r="782">
          <cell r="B782" t="str">
            <v>前轿底板</v>
          </cell>
          <cell r="C782" t="str">
            <v>Front Car Floor Plate</v>
          </cell>
          <cell r="V782" t="str">
            <v xml:space="preserve">前轿底板 </v>
          </cell>
        </row>
        <row r="783">
          <cell r="B783" t="str">
            <v>前轿底板</v>
          </cell>
          <cell r="C783" t="str">
            <v>Front Car Floor Plate</v>
          </cell>
          <cell r="V783" t="str">
            <v xml:space="preserve">前轿底板 </v>
          </cell>
        </row>
        <row r="784">
          <cell r="B784" t="str">
            <v>后轿底板</v>
          </cell>
          <cell r="C784" t="str">
            <v>Back Car Floor Plate</v>
          </cell>
          <cell r="V784" t="str">
            <v xml:space="preserve">后轿底板 </v>
          </cell>
        </row>
        <row r="785">
          <cell r="B785" t="str">
            <v>后轿底板</v>
          </cell>
          <cell r="C785" t="str">
            <v>Back Car Floor Plate</v>
          </cell>
          <cell r="V785" t="str">
            <v xml:space="preserve">后轿底板 </v>
          </cell>
        </row>
        <row r="786">
          <cell r="B786" t="str">
            <v>井道顶部梁</v>
          </cell>
          <cell r="C786" t="str">
            <v>Shaft Top Beam</v>
          </cell>
          <cell r="V786" t="str">
            <v xml:space="preserve">井道顶部梁 </v>
          </cell>
        </row>
        <row r="787">
          <cell r="B787" t="str">
            <v>井道顶部梁</v>
          </cell>
          <cell r="C787" t="str">
            <v>Shaft Top Beam</v>
          </cell>
          <cell r="V787" t="str">
            <v xml:space="preserve">井道顶部梁 </v>
          </cell>
        </row>
        <row r="788">
          <cell r="B788" t="str">
            <v>限速器梁</v>
          </cell>
          <cell r="C788" t="str">
            <v>Governor Beam</v>
          </cell>
          <cell r="V788" t="str">
            <v xml:space="preserve">限速器梁 </v>
          </cell>
        </row>
        <row r="789">
          <cell r="B789" t="str">
            <v>限速器梁</v>
          </cell>
          <cell r="C789" t="str">
            <v>Governor Beam</v>
          </cell>
          <cell r="V789" t="str">
            <v xml:space="preserve">限速器梁 </v>
          </cell>
        </row>
        <row r="790">
          <cell r="B790" t="str">
            <v>限速器梁组件</v>
          </cell>
          <cell r="C790" t="str">
            <v>Governor Beam Assy</v>
          </cell>
          <cell r="V790" t="str">
            <v xml:space="preserve">限速器梁组件 </v>
          </cell>
        </row>
        <row r="791">
          <cell r="B791" t="str">
            <v>限速器梁组件</v>
          </cell>
          <cell r="C791" t="str">
            <v>Governor Beam Assy</v>
          </cell>
          <cell r="V791" t="str">
            <v xml:space="preserve">限速器梁组件 </v>
          </cell>
        </row>
        <row r="792">
          <cell r="B792" t="str">
            <v>木块</v>
          </cell>
          <cell r="C792" t="str">
            <v>Wood Block</v>
          </cell>
          <cell r="V792" t="str">
            <v xml:space="preserve">木块 </v>
          </cell>
        </row>
        <row r="793">
          <cell r="B793" t="str">
            <v>木块</v>
          </cell>
          <cell r="C793" t="str">
            <v>Wood Block</v>
          </cell>
          <cell r="V793" t="str">
            <v xml:space="preserve">木块 </v>
          </cell>
        </row>
        <row r="794">
          <cell r="B794" t="str">
            <v>木夹</v>
          </cell>
          <cell r="C794" t="str">
            <v>Wood Clamp</v>
          </cell>
          <cell r="V794" t="str">
            <v xml:space="preserve">木夹 </v>
          </cell>
        </row>
        <row r="795">
          <cell r="B795" t="str">
            <v>木夹</v>
          </cell>
          <cell r="C795" t="str">
            <v>Wood Clamp</v>
          </cell>
          <cell r="V795" t="str">
            <v xml:space="preserve">木夹 </v>
          </cell>
        </row>
        <row r="796">
          <cell r="B796" t="str">
            <v>观光轿壁边框</v>
          </cell>
          <cell r="C796" t="str">
            <v>Panoramic Car Panel Side Frame</v>
          </cell>
          <cell r="V796" t="str">
            <v xml:space="preserve">观光轿壁边框 </v>
          </cell>
        </row>
        <row r="797">
          <cell r="B797" t="str">
            <v>观光轿壁边框</v>
          </cell>
          <cell r="C797" t="str">
            <v>Panoramic Car Panel Side Frame</v>
          </cell>
          <cell r="V797" t="str">
            <v xml:space="preserve">观光轿壁边框 </v>
          </cell>
        </row>
        <row r="798">
          <cell r="B798" t="str">
            <v>观光轿壁底框</v>
          </cell>
          <cell r="C798" t="str">
            <v>Panoramic Car Panel Bottom Frame</v>
          </cell>
          <cell r="V798" t="str">
            <v xml:space="preserve">观光轿壁底框 </v>
          </cell>
        </row>
        <row r="799">
          <cell r="B799" t="str">
            <v>观光轿壁底框</v>
          </cell>
          <cell r="C799" t="str">
            <v>Panoramic Car Panel Bottom Frame</v>
          </cell>
          <cell r="V799" t="str">
            <v xml:space="preserve">观光轿壁底框 </v>
          </cell>
        </row>
        <row r="800">
          <cell r="B800" t="str">
            <v>销</v>
          </cell>
          <cell r="C800" t="str">
            <v>Pin</v>
          </cell>
          <cell r="V800" t="str">
            <v xml:space="preserve">销 </v>
          </cell>
        </row>
        <row r="801">
          <cell r="B801" t="str">
            <v>销</v>
          </cell>
          <cell r="C801" t="str">
            <v>Pin</v>
          </cell>
          <cell r="V801" t="str">
            <v xml:space="preserve">销 </v>
          </cell>
        </row>
        <row r="802">
          <cell r="B802" t="str">
            <v>提拉装置绳头连接</v>
          </cell>
          <cell r="C802" t="str">
            <v>Pulling Device Rope Hitch</v>
          </cell>
          <cell r="V802" t="str">
            <v xml:space="preserve">提拉装置绳头连接 </v>
          </cell>
        </row>
        <row r="803">
          <cell r="B803" t="str">
            <v>提拉装置绳头连接</v>
          </cell>
          <cell r="C803" t="str">
            <v>Pulling Device Rope Hitch</v>
          </cell>
          <cell r="V803" t="str">
            <v xml:space="preserve">提拉装置绳头连接 </v>
          </cell>
        </row>
        <row r="804">
          <cell r="B804" t="str">
            <v>活节螺栓</v>
          </cell>
          <cell r="C804" t="str">
            <v>Eye Bolt</v>
          </cell>
          <cell r="V804" t="str">
            <v>活节螺栓 Spec-Property Class-Standard Code</v>
          </cell>
        </row>
        <row r="805">
          <cell r="B805" t="str">
            <v>活节螺栓</v>
          </cell>
          <cell r="C805" t="str">
            <v>Eye Bolt</v>
          </cell>
          <cell r="V805" t="str">
            <v>活节螺栓 M10*100 4.6 GB/T798</v>
          </cell>
        </row>
        <row r="806">
          <cell r="B806" t="str">
            <v>提拉杆连接座</v>
          </cell>
          <cell r="C806" t="str">
            <v>Pulling Rod Base</v>
          </cell>
          <cell r="V806" t="str">
            <v xml:space="preserve">提拉杆连接座 </v>
          </cell>
        </row>
        <row r="807">
          <cell r="B807" t="str">
            <v>提拉杆连接座</v>
          </cell>
          <cell r="C807" t="str">
            <v>Pulling Rod Base</v>
          </cell>
          <cell r="V807" t="str">
            <v xml:space="preserve">提拉杆连接座 </v>
          </cell>
        </row>
        <row r="808">
          <cell r="B808" t="str">
            <v>大垫圈</v>
          </cell>
          <cell r="C808" t="str">
            <v>Large Washer</v>
          </cell>
          <cell r="V808" t="str">
            <v>大垫圈 Spec-Hardness Class-Standard Code</v>
          </cell>
        </row>
        <row r="809">
          <cell r="B809" t="str">
            <v>大垫圈</v>
          </cell>
          <cell r="C809" t="str">
            <v>Large Washer</v>
          </cell>
          <cell r="V809" t="str">
            <v>大垫圈 8 200HV GB/T848</v>
          </cell>
        </row>
        <row r="810">
          <cell r="B810" t="str">
            <v>六角薄螺母</v>
          </cell>
          <cell r="C810" t="str">
            <v>Hexagon Thin Nut</v>
          </cell>
          <cell r="V810" t="str">
            <v>六角薄螺母 Spec-Property Class-Standard Code</v>
          </cell>
        </row>
        <row r="811">
          <cell r="B811" t="str">
            <v>六角薄螺母</v>
          </cell>
          <cell r="C811" t="str">
            <v>Hexagon Thin Nut</v>
          </cell>
          <cell r="V811" t="str">
            <v>六角薄螺母 M12 04 GB/T6172.1</v>
          </cell>
        </row>
        <row r="812">
          <cell r="B812" t="str">
            <v>缓冲器安装附件</v>
          </cell>
          <cell r="C812" t="str">
            <v>Buffer Fixing Accessories</v>
          </cell>
          <cell r="V812" t="str">
            <v>缓冲器安装附件 Buffer Type</v>
          </cell>
        </row>
        <row r="813">
          <cell r="B813" t="str">
            <v>缓冲器安装附件</v>
          </cell>
          <cell r="C813" t="str">
            <v>Buffer Fixing Accessories</v>
          </cell>
          <cell r="V813" t="str">
            <v>缓冲器安装附件 EN2</v>
          </cell>
        </row>
        <row r="814">
          <cell r="B814" t="str">
            <v>电阻</v>
          </cell>
          <cell r="C814" t="str">
            <v>Resistor</v>
          </cell>
          <cell r="V814" t="str">
            <v>电阻 Type-Spec.</v>
          </cell>
        </row>
        <row r="815">
          <cell r="B815" t="str">
            <v>电阻</v>
          </cell>
          <cell r="C815" t="str">
            <v>Resistor</v>
          </cell>
          <cell r="V815" t="str">
            <v>电阻 RXHG-A 22Ω/1500W</v>
          </cell>
        </row>
        <row r="816">
          <cell r="B816" t="str">
            <v>接触器</v>
          </cell>
          <cell r="C816" t="str">
            <v>Contactor</v>
          </cell>
          <cell r="V816" t="str">
            <v>接触器 Type</v>
          </cell>
        </row>
        <row r="817">
          <cell r="B817" t="str">
            <v>接触器</v>
          </cell>
          <cell r="C817" t="str">
            <v>Contactor</v>
          </cell>
          <cell r="V817" t="str">
            <v>接触器 LC1-D258M7C</v>
          </cell>
        </row>
        <row r="818">
          <cell r="B818" t="str">
            <v>断路器</v>
          </cell>
          <cell r="C818" t="str">
            <v>Breaker</v>
          </cell>
          <cell r="V818" t="str">
            <v>断路器 Type</v>
          </cell>
        </row>
        <row r="819">
          <cell r="B819" t="str">
            <v>断路器</v>
          </cell>
          <cell r="C819" t="str">
            <v>Breaker</v>
          </cell>
          <cell r="V819" t="str">
            <v>断路器 NSC100B3060</v>
          </cell>
        </row>
        <row r="820">
          <cell r="B820" t="str">
            <v>继电器</v>
          </cell>
          <cell r="C820" t="str">
            <v>Relay</v>
          </cell>
          <cell r="V820" t="str">
            <v>继电器 Type</v>
          </cell>
        </row>
        <row r="821">
          <cell r="B821" t="str">
            <v>继电器</v>
          </cell>
          <cell r="C821" t="str">
            <v>Relay</v>
          </cell>
          <cell r="V821" t="str">
            <v>继电器 CA2-DN22F7C</v>
          </cell>
        </row>
        <row r="822">
          <cell r="B822" t="str">
            <v>电容器</v>
          </cell>
          <cell r="C822" t="str">
            <v>Capacitor</v>
          </cell>
          <cell r="V822" t="str">
            <v>电容器 Type-Value-Rated voltage</v>
          </cell>
        </row>
        <row r="823">
          <cell r="B823" t="str">
            <v>电容器</v>
          </cell>
          <cell r="C823" t="str">
            <v>Capacitor</v>
          </cell>
          <cell r="V823" t="str">
            <v>电容器 X1-MEX 3.9μF 300VAC</v>
          </cell>
        </row>
        <row r="824">
          <cell r="B824" t="str">
            <v>接线端子</v>
          </cell>
          <cell r="C824" t="str">
            <v>Terminal Block</v>
          </cell>
          <cell r="V824" t="str">
            <v>接线端子 Type</v>
          </cell>
        </row>
        <row r="825">
          <cell r="B825" t="str">
            <v>接线端子</v>
          </cell>
          <cell r="C825" t="str">
            <v>Terminal Block</v>
          </cell>
          <cell r="V825" t="str">
            <v>接线端子 AB1 VV235U</v>
          </cell>
        </row>
        <row r="826">
          <cell r="B826" t="str">
            <v>电抗器</v>
          </cell>
          <cell r="C826" t="str">
            <v>Reactor</v>
          </cell>
          <cell r="V826" t="str">
            <v>电抗器 Type-Inductance-Rated Current</v>
          </cell>
        </row>
        <row r="827">
          <cell r="B827" t="str">
            <v>电抗器</v>
          </cell>
          <cell r="C827" t="str">
            <v>Reactor</v>
          </cell>
          <cell r="V827" t="str">
            <v>电抗器 HL-40A 1400 1.4mH 40A</v>
          </cell>
        </row>
        <row r="828">
          <cell r="B828" t="str">
            <v>插座</v>
          </cell>
          <cell r="C828" t="str">
            <v>Socket</v>
          </cell>
          <cell r="V828" t="str">
            <v>插座 Type</v>
          </cell>
        </row>
        <row r="829">
          <cell r="B829" t="str">
            <v>插座</v>
          </cell>
          <cell r="C829" t="str">
            <v>Socket</v>
          </cell>
          <cell r="V829" t="str">
            <v>插座 WNC1441W</v>
          </cell>
        </row>
        <row r="830">
          <cell r="B830" t="str">
            <v>集成电路</v>
          </cell>
          <cell r="C830" t="str">
            <v>Intergrated Circuit</v>
          </cell>
          <cell r="V830" t="str">
            <v>集成电路 Type</v>
          </cell>
        </row>
        <row r="831">
          <cell r="B831" t="str">
            <v>集成电路</v>
          </cell>
          <cell r="C831" t="str">
            <v>Intergrated Circuit</v>
          </cell>
          <cell r="V831" t="str">
            <v>集成电路 7555</v>
          </cell>
        </row>
        <row r="832">
          <cell r="B832" t="str">
            <v>熔断器</v>
          </cell>
          <cell r="C832" t="str">
            <v>Fuse</v>
          </cell>
          <cell r="V832" t="str">
            <v>熔断器 Type-Spec.</v>
          </cell>
        </row>
        <row r="833">
          <cell r="B833" t="str">
            <v>熔断器</v>
          </cell>
          <cell r="C833" t="str">
            <v>Fuse</v>
          </cell>
          <cell r="V833" t="str">
            <v>熔断器 HG30-32 1P</v>
          </cell>
        </row>
        <row r="834">
          <cell r="B834" t="str">
            <v>熔断体</v>
          </cell>
          <cell r="C834" t="str">
            <v>Fuse-Link</v>
          </cell>
          <cell r="V834" t="str">
            <v>熔断体 Type-Rated Current</v>
          </cell>
        </row>
        <row r="835">
          <cell r="B835" t="str">
            <v>熔断体</v>
          </cell>
          <cell r="C835" t="str">
            <v>Fuse-Link</v>
          </cell>
          <cell r="V835" t="str">
            <v>熔断体 R015     3A</v>
          </cell>
        </row>
        <row r="836">
          <cell r="B836" t="str">
            <v>圆形预绝缘端头</v>
          </cell>
          <cell r="C836" t="str">
            <v>Round Pre-insulating Terminal</v>
          </cell>
          <cell r="V836" t="str">
            <v>圆形预绝缘端头 Type</v>
          </cell>
        </row>
        <row r="837">
          <cell r="B837" t="str">
            <v>圆形预绝缘端头</v>
          </cell>
          <cell r="C837" t="str">
            <v>Round Pre-insulating Terminal</v>
          </cell>
          <cell r="V837" t="str">
            <v>圆形预绝缘端头 RVS1.25-4</v>
          </cell>
        </row>
        <row r="838">
          <cell r="B838" t="str">
            <v>圆形裸端头</v>
          </cell>
          <cell r="C838" t="str">
            <v>Round Bare Terminal</v>
          </cell>
          <cell r="V838" t="str">
            <v>圆形裸端头 Type</v>
          </cell>
        </row>
        <row r="839">
          <cell r="B839" t="str">
            <v>圆形裸端头</v>
          </cell>
          <cell r="C839" t="str">
            <v>Round Bare Terminal</v>
          </cell>
          <cell r="V839" t="str">
            <v>圆形裸端头 RNBS 8-4</v>
          </cell>
        </row>
        <row r="840">
          <cell r="B840" t="str">
            <v>管形预绝缘端头</v>
          </cell>
          <cell r="C840" t="str">
            <v>Tubular Pre-insulating Terminal</v>
          </cell>
          <cell r="V840" t="str">
            <v>管形预绝缘端头 Type</v>
          </cell>
        </row>
        <row r="841">
          <cell r="B841" t="str">
            <v>管形预绝缘端头</v>
          </cell>
          <cell r="C841" t="str">
            <v>Tubular Pre-insulating Terminal</v>
          </cell>
          <cell r="V841" t="str">
            <v>管形预绝缘端头 E1508</v>
          </cell>
        </row>
        <row r="842">
          <cell r="B842" t="str">
            <v>叉形预绝缘端头</v>
          </cell>
          <cell r="C842" t="str">
            <v>Fork Pre-insulating terminal</v>
          </cell>
          <cell r="V842" t="str">
            <v>叉形预绝缘端头 Type</v>
          </cell>
        </row>
        <row r="843">
          <cell r="B843" t="str">
            <v>叉形预绝缘端头</v>
          </cell>
          <cell r="C843" t="str">
            <v>Fork Pre-insulating terminal</v>
          </cell>
          <cell r="V843" t="str">
            <v>叉形预绝缘端头 SV 1.25-3</v>
          </cell>
        </row>
        <row r="844">
          <cell r="B844" t="str">
            <v>母绝缘接头</v>
          </cell>
          <cell r="C844" t="str">
            <v>Female Disconnect</v>
          </cell>
          <cell r="V844" t="str">
            <v>母绝缘接头 Type</v>
          </cell>
        </row>
        <row r="845">
          <cell r="B845" t="str">
            <v>母绝缘接头</v>
          </cell>
          <cell r="C845" t="str">
            <v>Female Disconnect</v>
          </cell>
          <cell r="V845" t="str">
            <v>母绝缘接头 FDD 1.25-110(5)</v>
          </cell>
        </row>
        <row r="846">
          <cell r="B846" t="str">
            <v>滤波器</v>
          </cell>
          <cell r="C846" t="str">
            <v>Filter</v>
          </cell>
          <cell r="V846" t="str">
            <v>滤波器 Type-Rated Current</v>
          </cell>
        </row>
        <row r="847">
          <cell r="B847" t="str">
            <v>滤波器</v>
          </cell>
          <cell r="C847" t="str">
            <v>Filter</v>
          </cell>
          <cell r="V847" t="str">
            <v>滤波器 DL-50ZBT1 16A</v>
          </cell>
        </row>
        <row r="848">
          <cell r="B848" t="str">
            <v>整流器</v>
          </cell>
          <cell r="C848" t="str">
            <v>Rectifier</v>
          </cell>
          <cell r="V848" t="str">
            <v>整流器 Type-Rated Current-Rated Voltage</v>
          </cell>
        </row>
        <row r="849">
          <cell r="B849" t="str">
            <v>整流器</v>
          </cell>
          <cell r="C849" t="str">
            <v>Rectifier</v>
          </cell>
          <cell r="V849" t="str">
            <v>整流器 QL 15A 1000V</v>
          </cell>
        </row>
        <row r="850">
          <cell r="B850" t="str">
            <v>变压器</v>
          </cell>
          <cell r="C850" t="str">
            <v>Transformer</v>
          </cell>
          <cell r="V850" t="str">
            <v>变压器 Type-Power-Input Voltage-Output Voltage</v>
          </cell>
        </row>
        <row r="851">
          <cell r="B851" t="str">
            <v>变压器</v>
          </cell>
          <cell r="C851" t="str">
            <v>Transformer</v>
          </cell>
          <cell r="V851" t="str">
            <v>变压器 630VA AC380V/AC220V AC110V</v>
          </cell>
        </row>
        <row r="852">
          <cell r="B852" t="str">
            <v>相位保护继电器</v>
          </cell>
          <cell r="C852" t="str">
            <v>Phase Protecting Relay</v>
          </cell>
          <cell r="V852" t="str">
            <v>相位保护继电器 Type</v>
          </cell>
        </row>
        <row r="853">
          <cell r="B853" t="str">
            <v>相位保护继电器</v>
          </cell>
          <cell r="C853" t="str">
            <v>Phase Protecting Relay</v>
          </cell>
          <cell r="V853" t="str">
            <v>相位保护继电器 DPA53C M48</v>
          </cell>
        </row>
        <row r="854">
          <cell r="B854" t="str">
            <v>解码器</v>
          </cell>
          <cell r="C854" t="str">
            <v>Decoder</v>
          </cell>
          <cell r="V854" t="str">
            <v>解码器 Type</v>
          </cell>
        </row>
        <row r="855">
          <cell r="B855" t="str">
            <v>解码器</v>
          </cell>
          <cell r="C855" t="str">
            <v>Decoder</v>
          </cell>
          <cell r="V855" t="str">
            <v>解码器 DR-3B</v>
          </cell>
        </row>
        <row r="856">
          <cell r="B856" t="str">
            <v>读卡器</v>
          </cell>
          <cell r="C856" t="str">
            <v>Card Reader</v>
          </cell>
          <cell r="V856" t="str">
            <v>读卡器 type</v>
          </cell>
        </row>
        <row r="857">
          <cell r="B857" t="str">
            <v>读卡器</v>
          </cell>
          <cell r="C857" t="str">
            <v>Card Reader</v>
          </cell>
          <cell r="V857" t="str">
            <v>读卡器 CPR1</v>
          </cell>
        </row>
        <row r="858">
          <cell r="B858" t="str">
            <v>液晶显示器</v>
          </cell>
          <cell r="C858" t="str">
            <v>LCD</v>
          </cell>
          <cell r="V858" t="str">
            <v>液晶显示器 Size-Type</v>
          </cell>
        </row>
        <row r="859">
          <cell r="B859" t="str">
            <v>液晶显示器</v>
          </cell>
          <cell r="C859" t="str">
            <v>LCD</v>
          </cell>
          <cell r="V859" t="str">
            <v>液晶显示器 12"  LDV121P-ST-SD</v>
          </cell>
        </row>
        <row r="860">
          <cell r="B860" t="str">
            <v>厅门</v>
          </cell>
          <cell r="C860" t="str">
            <v>L/Door</v>
          </cell>
          <cell r="V860" t="str">
            <v>厅门 Type-Openning Direction-Style-Door Clear Opening Width(mm)-Door Clear Height(mm)-Panel Decoration-L/Door Lock</v>
          </cell>
        </row>
        <row r="861">
          <cell r="B861" t="str">
            <v>厅门</v>
          </cell>
          <cell r="C861" t="str">
            <v>L/Door</v>
          </cell>
          <cell r="V861" t="str">
            <v>厅门 M2ZS8 CO/2 PF DW800 DH2100 SUS304/0.6/HL Lock/Y</v>
          </cell>
        </row>
        <row r="862">
          <cell r="B862" t="str">
            <v>厅门</v>
          </cell>
          <cell r="C862" t="str">
            <v>L/Door</v>
          </cell>
          <cell r="V862" t="str">
            <v>厅门 M2ZS8 CO/2 Glass DW800 DH2100 SUS304/0.6/HL Lock/Y</v>
          </cell>
        </row>
        <row r="863">
          <cell r="B863" t="str">
            <v>轿门</v>
          </cell>
          <cell r="C863" t="str">
            <v>C/Door</v>
          </cell>
          <cell r="V863" t="str">
            <v>轿门 Type-Openning Direction-Style-Door Clear Opening Width(mm)-Door Clear Height(mm)-Panel Decoration-C/Door Lock</v>
          </cell>
        </row>
        <row r="864">
          <cell r="B864" t="str">
            <v>轿门</v>
          </cell>
          <cell r="C864" t="str">
            <v>C/Door</v>
          </cell>
          <cell r="V864" t="str">
            <v>轿门 M2ZK8 LO/2 PF DW800 DH2100 SUS304/0.8/MI Lock/N</v>
          </cell>
        </row>
        <row r="865">
          <cell r="B865" t="str">
            <v>轿门</v>
          </cell>
          <cell r="C865" t="str">
            <v>C/Door</v>
          </cell>
          <cell r="V865" t="str">
            <v>轿门 M2ZK8 LO/2 Glass DW800 DH2100 SUS304/0.8/MI Lock/N</v>
          </cell>
        </row>
        <row r="866">
          <cell r="B866" t="str">
            <v>热轧H型钢</v>
          </cell>
          <cell r="C866" t="str">
            <v>H/R H Steel</v>
          </cell>
          <cell r="V866" t="str">
            <v>热轧H型钢 Spec.-Material-Standard Code</v>
          </cell>
        </row>
        <row r="867">
          <cell r="B867" t="str">
            <v>热轧H型钢</v>
          </cell>
          <cell r="C867" t="str">
            <v>H/R H Steel</v>
          </cell>
          <cell r="V867" t="str">
            <v>热轧H型钢 H800*300*14*26 Q235A GB/T11263</v>
          </cell>
        </row>
        <row r="868">
          <cell r="B868" t="str">
            <v>O型橡胶密封圈</v>
          </cell>
          <cell r="C868" t="str">
            <v>O Ring</v>
          </cell>
          <cell r="V868" t="str">
            <v>O型橡胶密封圈 Spec.-Standard Code</v>
          </cell>
        </row>
        <row r="869">
          <cell r="B869" t="str">
            <v>O型橡胶密封圈</v>
          </cell>
          <cell r="C869" t="str">
            <v>O Ring</v>
          </cell>
          <cell r="V869" t="str">
            <v>O型橡胶密封圈 15*2.65  GB3452.1</v>
          </cell>
        </row>
        <row r="870">
          <cell r="B870" t="str">
            <v>扬声器</v>
          </cell>
          <cell r="C870" t="str">
            <v>Loudspeaker</v>
          </cell>
          <cell r="V870" t="str">
            <v>扬声器 Type-Rated Impedance-Power</v>
          </cell>
        </row>
        <row r="871">
          <cell r="B871" t="str">
            <v>扬声器</v>
          </cell>
          <cell r="C871" t="str">
            <v>Loudspeaker</v>
          </cell>
          <cell r="V871" t="str">
            <v>扬声器 PFC-2842MM 8Ω 0.2W</v>
          </cell>
        </row>
        <row r="872">
          <cell r="B872" t="str">
            <v>随行电缆</v>
          </cell>
          <cell r="C872" t="str">
            <v>Traveling Cable</v>
          </cell>
          <cell r="V872" t="str">
            <v>随行电缆 Type</v>
          </cell>
        </row>
        <row r="873">
          <cell r="B873" t="str">
            <v>随行电缆</v>
          </cell>
          <cell r="C873" t="str">
            <v>Traveling Cable</v>
          </cell>
          <cell r="V873" t="str">
            <v xml:space="preserve">随行电缆 TVVBP-TV </v>
          </cell>
        </row>
        <row r="874">
          <cell r="B874" t="str">
            <v>开关电源</v>
          </cell>
          <cell r="C874" t="str">
            <v>SMPS</v>
          </cell>
          <cell r="V874" t="str">
            <v xml:space="preserve">开关电源 Type-Output Current </v>
          </cell>
        </row>
        <row r="875">
          <cell r="B875" t="str">
            <v>开关电源</v>
          </cell>
          <cell r="C875" t="str">
            <v>SMPS</v>
          </cell>
          <cell r="V875" t="str">
            <v>开关电源 S-350-24 10A</v>
          </cell>
        </row>
        <row r="876">
          <cell r="B876" t="str">
            <v>不间断电源</v>
          </cell>
          <cell r="C876" t="str">
            <v>UPS</v>
          </cell>
          <cell r="V876" t="str">
            <v>不间断电源 Type-Power-Input Voltage-Output Voltage</v>
          </cell>
        </row>
        <row r="877">
          <cell r="B877" t="str">
            <v>不间断电源</v>
          </cell>
          <cell r="C877" t="str">
            <v>UPS</v>
          </cell>
          <cell r="V877" t="str">
            <v>不间断电源 WS420-EPB 600W AC220V DC104V/DC24V/DC12V</v>
          </cell>
        </row>
        <row r="878">
          <cell r="B878" t="str">
            <v>应急电源</v>
          </cell>
          <cell r="C878" t="str">
            <v>EPS</v>
          </cell>
          <cell r="V878" t="str">
            <v>应急电源 Type-Input Voltage-Output Voltage</v>
          </cell>
        </row>
        <row r="879">
          <cell r="B879" t="str">
            <v>应急电源</v>
          </cell>
          <cell r="C879" t="str">
            <v>EPS</v>
          </cell>
          <cell r="V879" t="str">
            <v>应急电源 BD24V AC220V DC24V</v>
          </cell>
        </row>
        <row r="880">
          <cell r="B880" t="str">
            <v>蜂鸣器</v>
          </cell>
          <cell r="C880" t="str">
            <v>Buzzer</v>
          </cell>
          <cell r="V880" t="str">
            <v>蜂鸣器 Type-Spec</v>
          </cell>
        </row>
        <row r="881">
          <cell r="B881" t="str">
            <v>蜂鸣器</v>
          </cell>
          <cell r="C881" t="str">
            <v>Buzzer</v>
          </cell>
          <cell r="V881" t="str">
            <v>蜂鸣器 FQM-2724 DC12V</v>
          </cell>
        </row>
        <row r="882">
          <cell r="B882" t="str">
            <v>发纹不锈钢板</v>
          </cell>
          <cell r="C882" t="str">
            <v>HL Finished Stainless S. Plate</v>
          </cell>
          <cell r="V882" t="str">
            <v>发纹不锈钢板 Size-Material-Standard Code</v>
          </cell>
        </row>
        <row r="883">
          <cell r="B883" t="str">
            <v>发纹不锈钢板</v>
          </cell>
          <cell r="C883" t="str">
            <v>HL Finished Stainless S. Plate</v>
          </cell>
          <cell r="V883" t="str">
            <v>发纹不锈钢板 0.6*1219*2135  SUS441 No.4</v>
          </cell>
        </row>
        <row r="884">
          <cell r="B884" t="str">
            <v>镜面不锈钢板</v>
          </cell>
          <cell r="C884" t="str">
            <v>MI Finished Stainless S. Plate</v>
          </cell>
          <cell r="V884" t="str">
            <v>镜面不锈钢板 Size-Material-Standard Code</v>
          </cell>
        </row>
        <row r="885">
          <cell r="B885" t="str">
            <v>镜面不锈钢板</v>
          </cell>
          <cell r="C885" t="str">
            <v>MI Finished Stainless S. Plate</v>
          </cell>
          <cell r="V885" t="str">
            <v>镜面不锈钢板 0.8*1219*3048 SUS441</v>
          </cell>
        </row>
        <row r="886">
          <cell r="B886" t="str">
            <v>镀锌钢板</v>
          </cell>
          <cell r="C886" t="str">
            <v>Galvanized S. Plate</v>
          </cell>
          <cell r="V886" t="str">
            <v>镀锌钢板 Size-Material-Standard Code</v>
          </cell>
        </row>
        <row r="887">
          <cell r="B887" t="str">
            <v>镀锌钢板</v>
          </cell>
          <cell r="C887" t="str">
            <v>Galvanized S. Plate</v>
          </cell>
          <cell r="V887" t="str">
            <v>镀锌钢板 2.5*1250*2500  Q235A  GB2518</v>
          </cell>
        </row>
        <row r="888">
          <cell r="B888" t="str">
            <v>电解镀锌板</v>
          </cell>
          <cell r="C888" t="str">
            <v>Electrolytic Zinc-coated S. Plate</v>
          </cell>
          <cell r="V888" t="str">
            <v>电解镀锌板 Size-Material-Standard Code</v>
          </cell>
        </row>
        <row r="889">
          <cell r="B889" t="str">
            <v>电解镀锌板</v>
          </cell>
          <cell r="C889" t="str">
            <v>Electrolytic Zinc-coated S. Plate</v>
          </cell>
          <cell r="V889" t="str">
            <v>电解镀锌板 1.0*2150*1220  SPCC</v>
          </cell>
        </row>
        <row r="890">
          <cell r="B890" t="str">
            <v>端子标签</v>
          </cell>
          <cell r="C890" t="str">
            <v>Terminal Label</v>
          </cell>
          <cell r="V890" t="str">
            <v xml:space="preserve">端子标签 </v>
          </cell>
        </row>
        <row r="891">
          <cell r="B891" t="str">
            <v>端子标签</v>
          </cell>
          <cell r="C891" t="str">
            <v>Terminal Label</v>
          </cell>
          <cell r="V891" t="str">
            <v xml:space="preserve">端子标签 </v>
          </cell>
        </row>
        <row r="892">
          <cell r="B892" t="str">
            <v>接线盒</v>
          </cell>
          <cell r="C892" t="str">
            <v>Junction Box</v>
          </cell>
          <cell r="V892" t="str">
            <v xml:space="preserve">接线盒 </v>
          </cell>
        </row>
        <row r="893">
          <cell r="B893" t="str">
            <v>接线盒</v>
          </cell>
          <cell r="C893" t="str">
            <v>Junction Box</v>
          </cell>
          <cell r="V893" t="str">
            <v xml:space="preserve">接线盒 </v>
          </cell>
        </row>
        <row r="894">
          <cell r="B894" t="str">
            <v>线槽</v>
          </cell>
          <cell r="C894" t="str">
            <v>Trunking</v>
          </cell>
          <cell r="V894" t="str">
            <v xml:space="preserve">线槽 </v>
          </cell>
        </row>
        <row r="895">
          <cell r="B895" t="str">
            <v>线槽</v>
          </cell>
          <cell r="C895" t="str">
            <v>Trunking</v>
          </cell>
          <cell r="V895" t="str">
            <v xml:space="preserve">线槽 </v>
          </cell>
        </row>
        <row r="896">
          <cell r="B896" t="str">
            <v>选择开关</v>
          </cell>
          <cell r="C896" t="str">
            <v>Selector Switch</v>
          </cell>
          <cell r="V896" t="str">
            <v>选择开关 Type</v>
          </cell>
        </row>
        <row r="897">
          <cell r="B897" t="str">
            <v>选择开关</v>
          </cell>
          <cell r="C897" t="str">
            <v>Selector Switch</v>
          </cell>
          <cell r="V897" t="str">
            <v>选择开关 XB2-BD21C</v>
          </cell>
        </row>
        <row r="898">
          <cell r="B898" t="str">
            <v>厅门地坎托架</v>
          </cell>
          <cell r="C898" t="str">
            <v>L/Door Sill Support</v>
          </cell>
          <cell r="V898" t="str">
            <v>厅门地坎托架 Openning Direction-Openning Width(mm)</v>
          </cell>
        </row>
        <row r="899">
          <cell r="B899" t="str">
            <v>厅门地坎托架</v>
          </cell>
          <cell r="C899" t="str">
            <v>L/Door Sill Support</v>
          </cell>
          <cell r="V899" t="str">
            <v>厅门地坎托架 CO-800</v>
          </cell>
        </row>
        <row r="900">
          <cell r="B900" t="str">
            <v>带轮组件</v>
          </cell>
          <cell r="C900" t="str">
            <v>Belt Wheel Assy</v>
          </cell>
          <cell r="V900" t="str">
            <v>带轮组件 Wheel Dia.(mm)</v>
          </cell>
        </row>
        <row r="901">
          <cell r="B901" t="str">
            <v>带轮组件</v>
          </cell>
          <cell r="C901" t="str">
            <v>Belt Wheel Assy</v>
          </cell>
          <cell r="V901" t="str">
            <v>带轮组件 D85</v>
          </cell>
        </row>
        <row r="902">
          <cell r="B902" t="str">
            <v>带轮</v>
          </cell>
          <cell r="C902" t="str">
            <v>Belt Wheel</v>
          </cell>
          <cell r="V902" t="str">
            <v>带轮 Wheel Dia.(mm)-Type-Material</v>
          </cell>
        </row>
        <row r="903">
          <cell r="B903" t="str">
            <v>带轮</v>
          </cell>
          <cell r="C903" t="str">
            <v>Belt Wheel</v>
          </cell>
          <cell r="V903" t="str">
            <v>带轮 D85 Round Steel  Q235A</v>
          </cell>
        </row>
        <row r="904">
          <cell r="B904" t="str">
            <v>压绳板</v>
          </cell>
          <cell r="C904" t="str">
            <v>Fixing Rope Plate</v>
          </cell>
          <cell r="V904" t="str">
            <v>压绳板 Type-Thickness(mm)-Material</v>
          </cell>
        </row>
        <row r="905">
          <cell r="B905" t="str">
            <v>压绳板</v>
          </cell>
          <cell r="C905" t="str">
            <v>Fixing Rope Plate</v>
          </cell>
          <cell r="V905" t="str">
            <v>压绳板 Steel Plate 6 Q235A</v>
          </cell>
        </row>
        <row r="906">
          <cell r="B906" t="str">
            <v>门机安装支架</v>
          </cell>
          <cell r="C906" t="str">
            <v>Door Operator Support</v>
          </cell>
          <cell r="V906" t="str">
            <v xml:space="preserve">门机安装支架 </v>
          </cell>
        </row>
        <row r="907">
          <cell r="B907" t="str">
            <v>门机安装支架</v>
          </cell>
          <cell r="C907" t="str">
            <v>Door Operator Support</v>
          </cell>
          <cell r="V907" t="str">
            <v xml:space="preserve">门机安装支架 </v>
          </cell>
        </row>
        <row r="908">
          <cell r="B908" t="str">
            <v>门导靴</v>
          </cell>
          <cell r="C908" t="str">
            <v>Door Guide Shoe</v>
          </cell>
          <cell r="V908" t="str">
            <v>门导靴 Material</v>
          </cell>
        </row>
        <row r="909">
          <cell r="B909" t="str">
            <v>门导靴</v>
          </cell>
          <cell r="C909" t="str">
            <v>Door Guide Shoe</v>
          </cell>
          <cell r="V909" t="str">
            <v>门导靴 Polyurethane</v>
          </cell>
        </row>
        <row r="910">
          <cell r="B910" t="str">
            <v>轿门地坎托架</v>
          </cell>
          <cell r="C910" t="str">
            <v>C/Door Sill Support</v>
          </cell>
          <cell r="V910" t="str">
            <v>轿门地坎托架 Openning Direction-Openning Width(mm)</v>
          </cell>
        </row>
        <row r="911">
          <cell r="B911" t="str">
            <v>轿门地坎托架</v>
          </cell>
          <cell r="C911" t="str">
            <v>C/Door Sill Support</v>
          </cell>
          <cell r="V911" t="str">
            <v>轿门地坎托架 CO 800</v>
          </cell>
        </row>
        <row r="912">
          <cell r="B912" t="str">
            <v>地坎托板</v>
          </cell>
          <cell r="C912" t="str">
            <v>Sill Support Plate</v>
          </cell>
          <cell r="V912" t="str">
            <v>地坎托板 Openning Width(mm)</v>
          </cell>
        </row>
        <row r="913">
          <cell r="B913" t="str">
            <v>地坎托板</v>
          </cell>
          <cell r="C913" t="str">
            <v>Sill Support Plate</v>
          </cell>
          <cell r="V913" t="str">
            <v>地坎托板 800</v>
          </cell>
        </row>
        <row r="914">
          <cell r="B914" t="str">
            <v>三角锁组件</v>
          </cell>
          <cell r="C914" t="str">
            <v>Triangular Lock</v>
          </cell>
          <cell r="V914" t="str">
            <v>三角锁组件 Type</v>
          </cell>
        </row>
        <row r="915">
          <cell r="B915" t="str">
            <v>三角锁组件</v>
          </cell>
          <cell r="C915" t="str">
            <v>Triangular Lock</v>
          </cell>
          <cell r="V915" t="str">
            <v>三角锁组件 YA051C142G01</v>
          </cell>
        </row>
        <row r="916">
          <cell r="B916" t="str">
            <v>三角钥匙</v>
          </cell>
          <cell r="C916" t="str">
            <v>Triangular Key</v>
          </cell>
          <cell r="V916" t="str">
            <v>三角钥匙 Type-Length(mm)</v>
          </cell>
        </row>
        <row r="917">
          <cell r="B917" t="str">
            <v>三角钥匙</v>
          </cell>
          <cell r="C917" t="str">
            <v>Triangular Key</v>
          </cell>
          <cell r="V917" t="str">
            <v>三角钥匙 YA051C142G01 L180</v>
          </cell>
        </row>
        <row r="918">
          <cell r="B918" t="str">
            <v>接地标志</v>
          </cell>
          <cell r="C918" t="str">
            <v>Earthing Sign</v>
          </cell>
          <cell r="V918" t="str">
            <v xml:space="preserve">接地标志 Standard Code </v>
          </cell>
        </row>
        <row r="919">
          <cell r="B919" t="str">
            <v>接地标志</v>
          </cell>
          <cell r="C919" t="str">
            <v>Earthing Sign</v>
          </cell>
          <cell r="V919" t="str">
            <v>接地标志 GB/T5465.2</v>
          </cell>
        </row>
        <row r="920">
          <cell r="B920" t="str">
            <v>压敏电阻</v>
          </cell>
          <cell r="C920" t="str">
            <v>Varistor</v>
          </cell>
          <cell r="V920" t="str">
            <v>压敏电阻 Type-Material</v>
          </cell>
        </row>
        <row r="921">
          <cell r="B921" t="str">
            <v>压敏电阻</v>
          </cell>
          <cell r="C921" t="str">
            <v>Varistor</v>
          </cell>
          <cell r="V921" t="str">
            <v>压敏电阻 10K431 Zinc Oxide</v>
          </cell>
        </row>
        <row r="922">
          <cell r="B922" t="str">
            <v>销轴</v>
          </cell>
          <cell r="C922" t="str">
            <v>Clevis Pin with Head</v>
          </cell>
          <cell r="V922" t="str">
            <v>销轴 Spec.-Standard Code</v>
          </cell>
        </row>
        <row r="923">
          <cell r="B923" t="str">
            <v>销轴</v>
          </cell>
          <cell r="C923" t="str">
            <v>Clevis Pin with Head</v>
          </cell>
          <cell r="V923" t="str">
            <v>销轴 20*100*6.3 GB/T882</v>
          </cell>
        </row>
        <row r="924">
          <cell r="B924" t="str">
            <v>底板组件</v>
          </cell>
          <cell r="C924" t="str">
            <v>Soleplate Assy</v>
          </cell>
          <cell r="V924" t="str">
            <v xml:space="preserve">底板组件 </v>
          </cell>
        </row>
        <row r="925">
          <cell r="B925" t="str">
            <v>底板组件</v>
          </cell>
          <cell r="C925" t="str">
            <v>Soleplate Assy</v>
          </cell>
          <cell r="V925" t="str">
            <v xml:space="preserve">底板组件 </v>
          </cell>
        </row>
        <row r="926">
          <cell r="B926" t="str">
            <v>橡胶垫</v>
          </cell>
          <cell r="C926" t="str">
            <v>Rubber Pad</v>
          </cell>
          <cell r="V926" t="str">
            <v xml:space="preserve">橡胶垫 Code </v>
          </cell>
        </row>
        <row r="927">
          <cell r="B927" t="str">
            <v>橡胶垫</v>
          </cell>
          <cell r="C927" t="str">
            <v>Rubber Pad</v>
          </cell>
          <cell r="V927" t="str">
            <v>橡胶垫 XM-01</v>
          </cell>
        </row>
        <row r="928">
          <cell r="B928" t="str">
            <v>线槽支架</v>
          </cell>
          <cell r="C928" t="str">
            <v>Trunking Bracket</v>
          </cell>
          <cell r="V928" t="str">
            <v xml:space="preserve">线槽支架 </v>
          </cell>
        </row>
        <row r="929">
          <cell r="B929" t="str">
            <v>线槽支架</v>
          </cell>
          <cell r="C929" t="str">
            <v>Trunking Bracket</v>
          </cell>
          <cell r="V929" t="str">
            <v xml:space="preserve">线槽支架 </v>
          </cell>
        </row>
        <row r="930">
          <cell r="B930" t="str">
            <v>散热片</v>
          </cell>
          <cell r="C930" t="str">
            <v>Heat Sink</v>
          </cell>
          <cell r="V930" t="str">
            <v>散热片 Type-Dimension(mm)</v>
          </cell>
        </row>
        <row r="931">
          <cell r="B931" t="str">
            <v>散热片</v>
          </cell>
          <cell r="C931" t="str">
            <v>Heat Sink</v>
          </cell>
          <cell r="V931" t="str">
            <v>散热片 103 55*55</v>
          </cell>
        </row>
        <row r="932">
          <cell r="B932" t="str">
            <v>自动救援装置</v>
          </cell>
          <cell r="C932" t="str">
            <v>ARD</v>
          </cell>
          <cell r="V932" t="str">
            <v>自动救援装置 Type-Rated Current</v>
          </cell>
        </row>
        <row r="933">
          <cell r="B933" t="str">
            <v>自动救援装置</v>
          </cell>
          <cell r="C933" t="str">
            <v>ARD</v>
          </cell>
          <cell r="V933" t="str">
            <v>自动救援装置 WS420A 25A-70A</v>
          </cell>
        </row>
        <row r="934">
          <cell r="B934" t="str">
            <v>诊断仪</v>
          </cell>
          <cell r="C934" t="str">
            <v>Diagnostic Unit</v>
          </cell>
          <cell r="V934" t="str">
            <v>诊断仪 Type</v>
          </cell>
        </row>
        <row r="935">
          <cell r="B935" t="str">
            <v>诊断仪</v>
          </cell>
          <cell r="C935" t="str">
            <v>Diagnostic Unit</v>
          </cell>
          <cell r="V935" t="str">
            <v>诊断仪 AMD111000100</v>
          </cell>
        </row>
        <row r="936">
          <cell r="B936" t="str">
            <v>消防报警装置</v>
          </cell>
          <cell r="C936" t="str">
            <v>Fire Alarm Device</v>
          </cell>
          <cell r="V936" t="str">
            <v>消防报警装置 Type</v>
          </cell>
        </row>
        <row r="937">
          <cell r="B937" t="str">
            <v>消防报警装置</v>
          </cell>
          <cell r="C937" t="str">
            <v>Fire Alarm Device</v>
          </cell>
          <cell r="V937" t="str">
            <v>消防报警装置 L0088.14</v>
          </cell>
        </row>
        <row r="938">
          <cell r="B938" t="str">
            <v>井道分线盒</v>
          </cell>
          <cell r="C938" t="str">
            <v>Shaft Separating Cable Box</v>
          </cell>
          <cell r="V938" t="str">
            <v xml:space="preserve">井道分线盒 </v>
          </cell>
        </row>
        <row r="939">
          <cell r="B939" t="str">
            <v>井道分线盒</v>
          </cell>
          <cell r="C939" t="str">
            <v>Shaft Separating Cable Box</v>
          </cell>
          <cell r="V939" t="str">
            <v xml:space="preserve">井道分线盒 </v>
          </cell>
        </row>
        <row r="940">
          <cell r="B940" t="str">
            <v>并行传输线</v>
          </cell>
          <cell r="C940" t="str">
            <v>Parallel Transmission Lines</v>
          </cell>
          <cell r="V940" t="str">
            <v>并行传输线 Core-Color</v>
          </cell>
        </row>
        <row r="941">
          <cell r="B941" t="str">
            <v>并行传输线</v>
          </cell>
          <cell r="C941" t="str">
            <v>Parallel Transmission Lines</v>
          </cell>
          <cell r="V941" t="str">
            <v>并行传输线 14 GRY</v>
          </cell>
        </row>
        <row r="942">
          <cell r="B942" t="str">
            <v>磨砂玻璃</v>
          </cell>
          <cell r="C942" t="str">
            <v>Mat Glass</v>
          </cell>
          <cell r="V942" t="str">
            <v>磨砂玻璃 Thickness</v>
          </cell>
        </row>
        <row r="943">
          <cell r="B943" t="str">
            <v>磨砂玻璃</v>
          </cell>
          <cell r="C943" t="str">
            <v>Mat Glass</v>
          </cell>
          <cell r="V943" t="str">
            <v>磨砂玻璃 3</v>
          </cell>
        </row>
        <row r="944">
          <cell r="B944" t="str">
            <v>消防开关</v>
          </cell>
          <cell r="C944" t="str">
            <v>Fire Switch</v>
          </cell>
          <cell r="V944" t="str">
            <v>消防开关 Type</v>
          </cell>
        </row>
        <row r="945">
          <cell r="B945" t="str">
            <v>消防开关</v>
          </cell>
          <cell r="C945" t="str">
            <v>Fire Switch</v>
          </cell>
          <cell r="V945" t="str">
            <v>消防开关 FB1023</v>
          </cell>
        </row>
        <row r="946">
          <cell r="B946" t="str">
            <v>消防开关盒</v>
          </cell>
          <cell r="C946" t="str">
            <v>Fire Switch Box</v>
          </cell>
          <cell r="V946" t="str">
            <v xml:space="preserve">消防开关盒 </v>
          </cell>
        </row>
        <row r="947">
          <cell r="B947" t="str">
            <v>消防开关盒</v>
          </cell>
          <cell r="C947" t="str">
            <v>Fire Switch Box</v>
          </cell>
          <cell r="V947" t="str">
            <v xml:space="preserve">消防开关盒 </v>
          </cell>
        </row>
        <row r="948">
          <cell r="B948" t="str">
            <v>盒底</v>
          </cell>
          <cell r="C948" t="str">
            <v>Box Bottom</v>
          </cell>
          <cell r="V948" t="str">
            <v xml:space="preserve">盒底 </v>
          </cell>
        </row>
        <row r="949">
          <cell r="B949" t="str">
            <v>盒底</v>
          </cell>
          <cell r="C949" t="str">
            <v>Box Bottom</v>
          </cell>
          <cell r="V949" t="str">
            <v xml:space="preserve">盒底 </v>
          </cell>
        </row>
        <row r="950">
          <cell r="B950" t="str">
            <v>线槽接头</v>
          </cell>
          <cell r="C950" t="str">
            <v>Trunking Connection</v>
          </cell>
          <cell r="V950" t="str">
            <v xml:space="preserve">线槽接头 </v>
          </cell>
        </row>
        <row r="951">
          <cell r="B951" t="str">
            <v>线槽接头</v>
          </cell>
          <cell r="C951" t="str">
            <v>Trunking Connection</v>
          </cell>
          <cell r="V951" t="str">
            <v xml:space="preserve">线槽接头 </v>
          </cell>
        </row>
        <row r="952">
          <cell r="B952" t="str">
            <v>木螺钉</v>
          </cell>
          <cell r="C952" t="str">
            <v>Wood Screw</v>
          </cell>
          <cell r="V952" t="str">
            <v>木螺钉 Spec-Standard Code</v>
          </cell>
        </row>
        <row r="953">
          <cell r="B953" t="str">
            <v>木螺钉</v>
          </cell>
          <cell r="C953" t="str">
            <v>Wood Screw</v>
          </cell>
          <cell r="V953" t="str">
            <v>木螺钉 10*100 GB951</v>
          </cell>
        </row>
        <row r="954">
          <cell r="B954" t="str">
            <v>热缩管</v>
          </cell>
          <cell r="C954" t="str">
            <v>Shrinkable Tube</v>
          </cell>
          <cell r="V954" t="str">
            <v>热缩管 Diameter(mm)-Color</v>
          </cell>
        </row>
        <row r="955">
          <cell r="B955" t="str">
            <v>热缩管</v>
          </cell>
          <cell r="C955" t="str">
            <v>Shrinkable Tube</v>
          </cell>
          <cell r="V955" t="str">
            <v>热缩管 d12 Black</v>
          </cell>
        </row>
        <row r="956">
          <cell r="B956" t="str">
            <v>塑料胀管</v>
          </cell>
          <cell r="C956" t="str">
            <v>Plastic Anchor</v>
          </cell>
          <cell r="V956" t="str">
            <v>塑料胀管 Type-Spec</v>
          </cell>
        </row>
        <row r="957">
          <cell r="B957" t="str">
            <v>塑料胀管</v>
          </cell>
          <cell r="C957" t="str">
            <v>Plastic Anchor</v>
          </cell>
          <cell r="V957" t="str">
            <v>塑料胀管 CN5016 D8*48</v>
          </cell>
        </row>
        <row r="958">
          <cell r="B958" t="str">
            <v>辅助急停开关盒</v>
          </cell>
          <cell r="C958" t="str">
            <v>Auxiliary Emergency Stop Switch Box</v>
          </cell>
          <cell r="V958" t="str">
            <v xml:space="preserve">辅助急停开关盒 </v>
          </cell>
        </row>
        <row r="959">
          <cell r="B959" t="str">
            <v>辅助急停开关盒</v>
          </cell>
          <cell r="C959" t="str">
            <v>Auxiliary Emergency Stop Switch Box</v>
          </cell>
          <cell r="V959" t="str">
            <v xml:space="preserve">辅助急停开关盒 </v>
          </cell>
        </row>
        <row r="960">
          <cell r="B960" t="str">
            <v>语音报站</v>
          </cell>
          <cell r="C960" t="str">
            <v>Voice Announcement</v>
          </cell>
          <cell r="V960" t="str">
            <v>语音报站 Type</v>
          </cell>
        </row>
        <row r="961">
          <cell r="B961" t="str">
            <v>语音报站</v>
          </cell>
          <cell r="C961" t="str">
            <v>Voice Announcement</v>
          </cell>
          <cell r="V961" t="str">
            <v>语音报站 TSYY</v>
          </cell>
        </row>
        <row r="962">
          <cell r="B962" t="str">
            <v>机房线槽</v>
          </cell>
          <cell r="C962" t="str">
            <v>Machine Room Trunking</v>
          </cell>
          <cell r="V962" t="str">
            <v>机房线槽 Type-Spec.</v>
          </cell>
        </row>
        <row r="963">
          <cell r="B963" t="str">
            <v>机房线槽</v>
          </cell>
          <cell r="C963" t="str">
            <v>Machine Room Trunking</v>
          </cell>
          <cell r="V963" t="str">
            <v>机房线槽 200*60</v>
          </cell>
        </row>
        <row r="964">
          <cell r="B964" t="str">
            <v>按钮板</v>
          </cell>
          <cell r="C964" t="str">
            <v>Button Plate</v>
          </cell>
          <cell r="V964" t="str">
            <v xml:space="preserve">按钮板 </v>
          </cell>
        </row>
        <row r="965">
          <cell r="B965" t="str">
            <v>按钮板</v>
          </cell>
          <cell r="C965" t="str">
            <v>Button Plate</v>
          </cell>
          <cell r="V965" t="str">
            <v xml:space="preserve">按钮板 </v>
          </cell>
        </row>
        <row r="966">
          <cell r="B966" t="str">
            <v>控制柜底座</v>
          </cell>
          <cell r="C966" t="str">
            <v>Controller Base</v>
          </cell>
          <cell r="V966" t="str">
            <v xml:space="preserve">控制柜底座 </v>
          </cell>
        </row>
        <row r="967">
          <cell r="B967" t="str">
            <v>控制柜底座</v>
          </cell>
          <cell r="C967" t="str">
            <v>Controller Base</v>
          </cell>
          <cell r="V967" t="str">
            <v xml:space="preserve">控制柜底座 </v>
          </cell>
        </row>
        <row r="968">
          <cell r="B968" t="str">
            <v>控制柜后盖板</v>
          </cell>
          <cell r="C968" t="str">
            <v>Controller Back Cover</v>
          </cell>
          <cell r="V968" t="str">
            <v xml:space="preserve">控制柜后盖板 </v>
          </cell>
        </row>
        <row r="969">
          <cell r="B969" t="str">
            <v>控制柜后盖板</v>
          </cell>
          <cell r="C969" t="str">
            <v>Controller Back Cover</v>
          </cell>
          <cell r="V969" t="str">
            <v xml:space="preserve">控制柜后盖板 </v>
          </cell>
        </row>
        <row r="970">
          <cell r="B970" t="str">
            <v>电阻箱</v>
          </cell>
          <cell r="C970" t="str">
            <v>Resistor Box</v>
          </cell>
          <cell r="V970" t="str">
            <v xml:space="preserve">电阻箱 </v>
          </cell>
        </row>
        <row r="971">
          <cell r="B971" t="str">
            <v>电阻箱</v>
          </cell>
          <cell r="C971" t="str">
            <v>Resistor Box</v>
          </cell>
          <cell r="V971" t="str">
            <v xml:space="preserve">电阻箱 </v>
          </cell>
        </row>
        <row r="972">
          <cell r="B972" t="str">
            <v>电阻箱组件</v>
          </cell>
          <cell r="C972" t="str">
            <v>Resistor Box Assy</v>
          </cell>
          <cell r="V972" t="str">
            <v xml:space="preserve">电阻箱组件 </v>
          </cell>
        </row>
        <row r="973">
          <cell r="B973" t="str">
            <v>电阻箱组件</v>
          </cell>
          <cell r="C973" t="str">
            <v>Resistor Box Assy</v>
          </cell>
          <cell r="V973" t="str">
            <v xml:space="preserve">电阻箱组件 </v>
          </cell>
        </row>
        <row r="974">
          <cell r="B974" t="str">
            <v>电阻箱盖板</v>
          </cell>
          <cell r="C974" t="str">
            <v>Resistor Box Cover</v>
          </cell>
          <cell r="V974" t="str">
            <v xml:space="preserve">电阻箱盖板 </v>
          </cell>
        </row>
        <row r="975">
          <cell r="B975" t="str">
            <v>电阻箱盖板</v>
          </cell>
          <cell r="C975" t="str">
            <v>Resistor Box Cover</v>
          </cell>
          <cell r="V975" t="str">
            <v xml:space="preserve">电阻箱盖板 </v>
          </cell>
        </row>
        <row r="976">
          <cell r="B976" t="str">
            <v>元器件安装组件</v>
          </cell>
          <cell r="C976" t="str">
            <v>Components Fixing Assy</v>
          </cell>
          <cell r="V976" t="str">
            <v xml:space="preserve">元器件安装组件 </v>
          </cell>
        </row>
        <row r="977">
          <cell r="B977" t="str">
            <v>元器件安装组件</v>
          </cell>
          <cell r="C977" t="str">
            <v>Components Fixing Assy</v>
          </cell>
          <cell r="V977" t="str">
            <v xml:space="preserve">元器件安装组件 </v>
          </cell>
        </row>
        <row r="978">
          <cell r="B978" t="str">
            <v>隔板</v>
          </cell>
          <cell r="C978" t="str">
            <v>Clapboard</v>
          </cell>
          <cell r="V978" t="str">
            <v xml:space="preserve">隔板 </v>
          </cell>
        </row>
        <row r="979">
          <cell r="B979" t="str">
            <v>隔板</v>
          </cell>
          <cell r="C979" t="str">
            <v>Clapboard</v>
          </cell>
          <cell r="V979" t="str">
            <v xml:space="preserve">隔板 </v>
          </cell>
        </row>
        <row r="980">
          <cell r="B980" t="str">
            <v>控制柜左门板</v>
          </cell>
          <cell r="C980" t="str">
            <v>Controller Left Door Panel</v>
          </cell>
          <cell r="V980" t="str">
            <v xml:space="preserve">控制柜左门板 </v>
          </cell>
        </row>
        <row r="981">
          <cell r="B981" t="str">
            <v>控制柜左门板</v>
          </cell>
          <cell r="C981" t="str">
            <v>Controller Left Door Panel</v>
          </cell>
          <cell r="V981" t="str">
            <v xml:space="preserve">控制柜左门板 </v>
          </cell>
        </row>
        <row r="982">
          <cell r="B982" t="str">
            <v>控制柜右门板</v>
          </cell>
          <cell r="C982" t="str">
            <v>Controller Right Door Panel</v>
          </cell>
          <cell r="V982" t="str">
            <v xml:space="preserve">控制柜右门板 </v>
          </cell>
        </row>
        <row r="983">
          <cell r="B983" t="str">
            <v>控制柜右门板</v>
          </cell>
          <cell r="C983" t="str">
            <v>Controller Right Door Panel</v>
          </cell>
          <cell r="V983" t="str">
            <v xml:space="preserve">控制柜右门板 </v>
          </cell>
        </row>
        <row r="984">
          <cell r="B984" t="str">
            <v>控制柜左门板组件</v>
          </cell>
          <cell r="C984" t="str">
            <v>Controller Left Door Panel Assy</v>
          </cell>
          <cell r="V984" t="str">
            <v xml:space="preserve">控制柜左门板组件 </v>
          </cell>
        </row>
        <row r="985">
          <cell r="B985" t="str">
            <v>控制柜左门板组件</v>
          </cell>
          <cell r="C985" t="str">
            <v>Controller Left Door Panel Assy</v>
          </cell>
          <cell r="V985" t="str">
            <v xml:space="preserve">控制柜左门板组件 </v>
          </cell>
        </row>
        <row r="986">
          <cell r="B986" t="str">
            <v>控制柜右门板组件</v>
          </cell>
          <cell r="C986" t="str">
            <v>Controller Right Door Panel Assy</v>
          </cell>
          <cell r="V986" t="str">
            <v xml:space="preserve">控制柜右门板组件 </v>
          </cell>
        </row>
        <row r="987">
          <cell r="B987" t="str">
            <v>控制柜右门板组件</v>
          </cell>
          <cell r="C987" t="str">
            <v>Controller Right Door Panel Assy</v>
          </cell>
          <cell r="V987" t="str">
            <v xml:space="preserve">控制柜右门板组件 </v>
          </cell>
        </row>
        <row r="988">
          <cell r="B988" t="str">
            <v>电工铜编织线</v>
          </cell>
          <cell r="C988" t="str">
            <v>Electrical Copper Braided Wire</v>
          </cell>
          <cell r="V988" t="str">
            <v>电工铜编织线 Type-Spec.-Standard Code</v>
          </cell>
        </row>
        <row r="989">
          <cell r="B989" t="str">
            <v>电工铜编织线</v>
          </cell>
          <cell r="C989" t="str">
            <v>Electrical Copper Braided Wire</v>
          </cell>
          <cell r="V989" t="str">
            <v>电工铜编织线 TZ-15 25 JB/T6313.2</v>
          </cell>
        </row>
        <row r="990">
          <cell r="B990" t="str">
            <v>直型插簧</v>
          </cell>
          <cell r="C990" t="str">
            <v>Straight Snap Terminal</v>
          </cell>
          <cell r="V990" t="str">
            <v>直型插簧 Type-Spec.</v>
          </cell>
        </row>
        <row r="991">
          <cell r="B991" t="str">
            <v>直型插簧</v>
          </cell>
          <cell r="C991" t="str">
            <v>Straight Snap Terminal</v>
          </cell>
          <cell r="V991" t="str">
            <v>直型插簧 7</v>
          </cell>
        </row>
        <row r="992">
          <cell r="B992" t="str">
            <v>插簧护套</v>
          </cell>
          <cell r="C992" t="str">
            <v>Snap Terminal Jacket</v>
          </cell>
          <cell r="V992" t="str">
            <v>插簧护套 Type-Spec.</v>
          </cell>
        </row>
        <row r="993">
          <cell r="B993" t="str">
            <v>插簧护套</v>
          </cell>
          <cell r="C993" t="str">
            <v>Snap Terminal Jacket</v>
          </cell>
          <cell r="V993" t="str">
            <v>插簧护套 7.4</v>
          </cell>
        </row>
        <row r="994">
          <cell r="B994" t="str">
            <v>防水盒</v>
          </cell>
          <cell r="C994" t="str">
            <v>Waterproof Box</v>
          </cell>
          <cell r="V994" t="str">
            <v>防水盒 Manufacturer-Spec.</v>
          </cell>
        </row>
        <row r="995">
          <cell r="B995" t="str">
            <v>防水盒</v>
          </cell>
          <cell r="C995" t="str">
            <v>Waterproof Box</v>
          </cell>
          <cell r="V995" t="str">
            <v>防水盒 Matsunichi 98*108*25</v>
          </cell>
        </row>
        <row r="996">
          <cell r="B996" t="str">
            <v>防水盒垫</v>
          </cell>
          <cell r="C996" t="str">
            <v>Waterproof Box Pad</v>
          </cell>
          <cell r="V996" t="str">
            <v>防水盒垫 Manufacturer-Spec.</v>
          </cell>
        </row>
        <row r="997">
          <cell r="B997" t="str">
            <v>防水盒垫</v>
          </cell>
          <cell r="C997" t="str">
            <v>Waterproof Box Pad</v>
          </cell>
          <cell r="V997" t="str">
            <v>防水盒垫 Matsunichi 98*108*2</v>
          </cell>
        </row>
        <row r="998">
          <cell r="B998" t="str">
            <v>插座面板</v>
          </cell>
          <cell r="C998" t="str">
            <v>Socket Faceplate</v>
          </cell>
          <cell r="V998" t="str">
            <v>插座面板 Type</v>
          </cell>
        </row>
        <row r="999">
          <cell r="B999" t="str">
            <v>插座面板</v>
          </cell>
          <cell r="C999" t="str">
            <v>Socket Faceplate</v>
          </cell>
          <cell r="V999" t="str">
            <v>插座面板 WNC 6803</v>
          </cell>
        </row>
        <row r="1000">
          <cell r="B1000" t="str">
            <v>灯罩</v>
          </cell>
          <cell r="C1000" t="str">
            <v>Lampshade</v>
          </cell>
          <cell r="V1000" t="str">
            <v>灯罩 Material</v>
          </cell>
        </row>
        <row r="1001">
          <cell r="B1001" t="str">
            <v>灯罩</v>
          </cell>
          <cell r="C1001" t="str">
            <v>Lampshade</v>
          </cell>
          <cell r="V1001" t="str">
            <v>灯罩 Iron Wire</v>
          </cell>
        </row>
        <row r="1002">
          <cell r="B1002" t="str">
            <v>灯座</v>
          </cell>
          <cell r="C1002" t="str">
            <v>Lamp Holder</v>
          </cell>
          <cell r="V1002" t="str">
            <v>灯座 Type-Rated Voltage-Rated Current</v>
          </cell>
        </row>
        <row r="1003">
          <cell r="B1003" t="str">
            <v>灯座</v>
          </cell>
          <cell r="C1003" t="str">
            <v>Lamp Holder</v>
          </cell>
          <cell r="V1003" t="str">
            <v>灯座 Thread 12V 5A</v>
          </cell>
        </row>
        <row r="1004">
          <cell r="B1004" t="str">
            <v>端子固定座</v>
          </cell>
          <cell r="C1004" t="str">
            <v>Terminal Mounting Seat</v>
          </cell>
          <cell r="V1004" t="str">
            <v>端子固定座 Type</v>
          </cell>
        </row>
        <row r="1005">
          <cell r="B1005" t="str">
            <v>端子固定座</v>
          </cell>
          <cell r="C1005" t="str">
            <v>Terminal Mounting Seat</v>
          </cell>
          <cell r="V1005" t="str">
            <v>端子固定座 EW35</v>
          </cell>
        </row>
        <row r="1006">
          <cell r="B1006" t="str">
            <v>端子隔板</v>
          </cell>
          <cell r="C1006" t="str">
            <v>Terminal Clapboard</v>
          </cell>
          <cell r="V1006" t="str">
            <v>端子隔板 Type</v>
          </cell>
        </row>
        <row r="1007">
          <cell r="B1007" t="str">
            <v>端子隔板</v>
          </cell>
          <cell r="C1007" t="str">
            <v>Terminal Clapboard</v>
          </cell>
          <cell r="V1007" t="str">
            <v>端子隔板 ZAP/TW ZT2.5/4AN/2</v>
          </cell>
        </row>
        <row r="1008">
          <cell r="B1008" t="str">
            <v>防插错编码销</v>
          </cell>
          <cell r="C1008" t="str">
            <v>Coding Star</v>
          </cell>
          <cell r="V1008" t="str">
            <v>防插错编码销 Type-Material</v>
          </cell>
        </row>
        <row r="1009">
          <cell r="B1009" t="str">
            <v>防插错编码销</v>
          </cell>
          <cell r="C1009" t="str">
            <v>Coding Star</v>
          </cell>
          <cell r="V1009" t="str">
            <v>防插错编码销 CP-MSTB PLC</v>
          </cell>
        </row>
        <row r="1010">
          <cell r="B1010" t="str">
            <v>短接片</v>
          </cell>
          <cell r="C1010" t="str">
            <v>Short Circuit Clip</v>
          </cell>
          <cell r="V1010" t="str">
            <v>短接片 Type</v>
          </cell>
        </row>
        <row r="1011">
          <cell r="B1011" t="str">
            <v>短接片</v>
          </cell>
          <cell r="C1011" t="str">
            <v>Short Circuit Clip</v>
          </cell>
          <cell r="V1011" t="str">
            <v>短接片 FBS 2-5</v>
          </cell>
        </row>
        <row r="1012">
          <cell r="B1012" t="str">
            <v>上护脚板</v>
          </cell>
          <cell r="C1012" t="str">
            <v>Up Apron</v>
          </cell>
          <cell r="V1012" t="str">
            <v>上护脚板 Door Clear Width(mm)</v>
          </cell>
        </row>
        <row r="1013">
          <cell r="B1013" t="str">
            <v>上护脚板</v>
          </cell>
          <cell r="C1013" t="str">
            <v>Up Apron</v>
          </cell>
          <cell r="V1013" t="str">
            <v>上护脚板 DW800</v>
          </cell>
        </row>
        <row r="1014">
          <cell r="B1014" t="str">
            <v>下护脚板</v>
          </cell>
          <cell r="C1014" t="str">
            <v>Bottom Apron</v>
          </cell>
          <cell r="V1014" t="str">
            <v>下护脚板 Door Clear Width(mm)</v>
          </cell>
        </row>
        <row r="1015">
          <cell r="B1015" t="str">
            <v>下护脚板</v>
          </cell>
          <cell r="C1015" t="str">
            <v>Bottom Apron</v>
          </cell>
          <cell r="V1015" t="str">
            <v>下护脚板 DW800</v>
          </cell>
        </row>
        <row r="1016">
          <cell r="B1016" t="str">
            <v>主COP-轿顶通讯电缆</v>
          </cell>
          <cell r="C1016" t="str">
            <v>Main COP-Car Roof C/Cable</v>
          </cell>
          <cell r="V1016" t="str">
            <v xml:space="preserve">主COP-轿顶通讯电缆 </v>
          </cell>
        </row>
        <row r="1017">
          <cell r="B1017" t="str">
            <v>主COP-轿顶通讯电缆</v>
          </cell>
          <cell r="C1017" t="str">
            <v>Main COP-Car Roof C/Cable</v>
          </cell>
          <cell r="V1017" t="str">
            <v xml:space="preserve">主COP-轿顶通讯电缆 </v>
          </cell>
        </row>
        <row r="1018">
          <cell r="B1018" t="str">
            <v>卡轨</v>
          </cell>
          <cell r="C1018" t="str">
            <v>Clamping Rail</v>
          </cell>
          <cell r="V1018" t="str">
            <v>卡轨 Type-Spec.-Hole Space (mm)</v>
          </cell>
        </row>
        <row r="1019">
          <cell r="B1019" t="str">
            <v>卡轨</v>
          </cell>
          <cell r="C1019" t="str">
            <v>Clamping Rail</v>
          </cell>
          <cell r="V1019" t="str">
            <v>卡轨 TL35 175* 35*7.5 25</v>
          </cell>
        </row>
        <row r="1020">
          <cell r="B1020" t="str">
            <v>端子颜色说明</v>
          </cell>
          <cell r="C1020" t="str">
            <v>Terminal Color Explanation</v>
          </cell>
          <cell r="V1020" t="str">
            <v xml:space="preserve">端子颜色说明 </v>
          </cell>
        </row>
        <row r="1021">
          <cell r="B1021" t="str">
            <v>端子颜色说明</v>
          </cell>
          <cell r="C1021" t="str">
            <v>Terminal Color Explanation</v>
          </cell>
          <cell r="V1021" t="str">
            <v xml:space="preserve">端子颜色说明 </v>
          </cell>
        </row>
        <row r="1022">
          <cell r="B1022" t="str">
            <v>叶片支架组件</v>
          </cell>
          <cell r="C1022" t="str">
            <v>Vane Bracket Assy</v>
          </cell>
          <cell r="V1022" t="str">
            <v xml:space="preserve">叶片支架组件 </v>
          </cell>
        </row>
        <row r="1023">
          <cell r="B1023" t="str">
            <v>叶片支架组件</v>
          </cell>
          <cell r="C1023" t="str">
            <v>Vane Bracket Assy</v>
          </cell>
          <cell r="V1023" t="str">
            <v xml:space="preserve">叶片支架组件 </v>
          </cell>
        </row>
        <row r="1024">
          <cell r="B1024" t="str">
            <v>叶片支架</v>
          </cell>
          <cell r="C1024" t="str">
            <v>Vane Bracket</v>
          </cell>
          <cell r="V1024" t="str">
            <v xml:space="preserve">叶片支架 </v>
          </cell>
        </row>
        <row r="1025">
          <cell r="B1025" t="str">
            <v>叶片支架</v>
          </cell>
          <cell r="C1025" t="str">
            <v>Vane Bracket</v>
          </cell>
          <cell r="V1025" t="str">
            <v xml:space="preserve">叶片支架 </v>
          </cell>
        </row>
        <row r="1026">
          <cell r="B1026" t="str">
            <v>限位触发组件</v>
          </cell>
          <cell r="C1026" t="str">
            <v>Limit Trigger Assy</v>
          </cell>
          <cell r="V1026" t="str">
            <v xml:space="preserve">限位触发组件 </v>
          </cell>
        </row>
        <row r="1027">
          <cell r="B1027" t="str">
            <v>限位触发组件</v>
          </cell>
          <cell r="C1027" t="str">
            <v>Limit Trigger Assy</v>
          </cell>
          <cell r="V1027" t="str">
            <v xml:space="preserve">限位触发组件 </v>
          </cell>
        </row>
        <row r="1028">
          <cell r="B1028" t="str">
            <v>消防感应组件</v>
          </cell>
          <cell r="C1028" t="str">
            <v>Fire Induction Assy</v>
          </cell>
          <cell r="V1028" t="str">
            <v xml:space="preserve">消防感应组件 </v>
          </cell>
        </row>
        <row r="1029">
          <cell r="B1029" t="str">
            <v>消防感应组件</v>
          </cell>
          <cell r="C1029" t="str">
            <v>Fire Induction Assy</v>
          </cell>
          <cell r="V1029" t="str">
            <v xml:space="preserve">消防感应组件 </v>
          </cell>
        </row>
        <row r="1030">
          <cell r="B1030" t="str">
            <v>感应组件</v>
          </cell>
          <cell r="C1030" t="str">
            <v>Induction Assy</v>
          </cell>
          <cell r="V1030" t="str">
            <v xml:space="preserve">感应组件 </v>
          </cell>
        </row>
        <row r="1031">
          <cell r="B1031" t="str">
            <v>感应组件</v>
          </cell>
          <cell r="C1031" t="str">
            <v>Induction Assy</v>
          </cell>
          <cell r="V1031" t="str">
            <v xml:space="preserve">感应组件 </v>
          </cell>
        </row>
        <row r="1032">
          <cell r="B1032" t="str">
            <v>门区叶片</v>
          </cell>
          <cell r="C1032" t="str">
            <v>Door Zone Vane</v>
          </cell>
          <cell r="V1032" t="str">
            <v xml:space="preserve">门区叶片 </v>
          </cell>
        </row>
        <row r="1033">
          <cell r="B1033" t="str">
            <v>门区叶片</v>
          </cell>
          <cell r="C1033" t="str">
            <v>Door Zone Vane</v>
          </cell>
          <cell r="V1033" t="str">
            <v xml:space="preserve">门区叶片 </v>
          </cell>
        </row>
        <row r="1034">
          <cell r="B1034" t="str">
            <v>消防继电器板电源电缆</v>
          </cell>
          <cell r="C1034" t="str">
            <v>Fire Relay Board P/Cable</v>
          </cell>
          <cell r="V1034" t="str">
            <v xml:space="preserve">消防继电器板电源电缆 </v>
          </cell>
        </row>
        <row r="1035">
          <cell r="B1035" t="str">
            <v>消防继电器板电源电缆</v>
          </cell>
          <cell r="C1035" t="str">
            <v>Fire Relay Board P/Cable</v>
          </cell>
          <cell r="V1035" t="str">
            <v xml:space="preserve">消防继电器板电源电缆 </v>
          </cell>
        </row>
        <row r="1036">
          <cell r="B1036" t="str">
            <v>消防及超载报警电缆</v>
          </cell>
          <cell r="C1036" t="str">
            <v>Fire and Overload Alarm Cable</v>
          </cell>
          <cell r="V1036" t="str">
            <v xml:space="preserve">消防及超载报警电缆 </v>
          </cell>
        </row>
        <row r="1037">
          <cell r="B1037" t="str">
            <v>消防及超载报警电缆</v>
          </cell>
          <cell r="C1037" t="str">
            <v>Fire and Overload Alarm Cable</v>
          </cell>
          <cell r="V1037" t="str">
            <v xml:space="preserve">消防及超载报警电缆 </v>
          </cell>
        </row>
        <row r="1038">
          <cell r="B1038" t="str">
            <v>控制柜-变频器柜电源电缆</v>
          </cell>
          <cell r="C1038" t="str">
            <v>Ctr-Inverter Ctr P/Cable</v>
          </cell>
          <cell r="V1038" t="str">
            <v xml:space="preserve">控制柜-变频器柜电源电缆 </v>
          </cell>
        </row>
        <row r="1039">
          <cell r="B1039" t="str">
            <v>控制柜-变频器柜电源电缆</v>
          </cell>
          <cell r="C1039" t="str">
            <v>Ctr-Inverter Ctr P/Cable</v>
          </cell>
          <cell r="V1039" t="str">
            <v xml:space="preserve">控制柜-变频器柜电源电缆 </v>
          </cell>
        </row>
        <row r="1040">
          <cell r="B1040" t="str">
            <v>变频器柜体</v>
          </cell>
          <cell r="C1040" t="str">
            <v>Inverter Cabinet</v>
          </cell>
          <cell r="V1040" t="str">
            <v xml:space="preserve">变频器柜体 </v>
          </cell>
        </row>
        <row r="1041">
          <cell r="B1041" t="str">
            <v>变频器柜体</v>
          </cell>
          <cell r="C1041" t="str">
            <v>Inverter Cabinet</v>
          </cell>
          <cell r="V1041" t="str">
            <v xml:space="preserve">变频器柜体 </v>
          </cell>
        </row>
        <row r="1042">
          <cell r="B1042" t="str">
            <v>变频器柜</v>
          </cell>
          <cell r="C1042" t="str">
            <v>Inverter Ctr</v>
          </cell>
          <cell r="V1042" t="str">
            <v>变频器柜 Type</v>
          </cell>
        </row>
        <row r="1043">
          <cell r="B1043" t="str">
            <v>变频器柜</v>
          </cell>
          <cell r="C1043" t="str">
            <v>Inverter Ctr</v>
          </cell>
          <cell r="V1043" t="str">
            <v>变频器柜 CPIK-15M1</v>
          </cell>
        </row>
        <row r="1044">
          <cell r="B1044" t="str">
            <v>控制柜-变频器柜强电控制电缆</v>
          </cell>
          <cell r="C1044" t="str">
            <v>Ctr-Inverter Ctr HV Control Cable</v>
          </cell>
          <cell r="V1044" t="str">
            <v xml:space="preserve">控制柜-变频器柜强电控制电缆 </v>
          </cell>
        </row>
        <row r="1045">
          <cell r="B1045" t="str">
            <v>控制柜-变频器柜强电控制电缆</v>
          </cell>
          <cell r="C1045" t="str">
            <v>Ctr-Inverter Ctr HV Control Cable</v>
          </cell>
          <cell r="V1045" t="str">
            <v xml:space="preserve">控制柜-变频器柜强电控制电缆 </v>
          </cell>
        </row>
        <row r="1046">
          <cell r="B1046" t="str">
            <v>控制柜-变频器柜弱电控制电缆</v>
          </cell>
          <cell r="C1046" t="str">
            <v>Ctr-Inverter Ctr LV Control Cable</v>
          </cell>
          <cell r="V1046" t="str">
            <v xml:space="preserve">控制柜-变频器柜弱电控制电缆 </v>
          </cell>
        </row>
        <row r="1047">
          <cell r="B1047" t="str">
            <v>控制柜-变频器柜弱电控制电缆</v>
          </cell>
          <cell r="C1047" t="str">
            <v>Ctr-Inverter Ctr LV Control Cable</v>
          </cell>
          <cell r="V1047" t="str">
            <v xml:space="preserve">控制柜-变频器柜弱电控制电缆 </v>
          </cell>
        </row>
        <row r="1048">
          <cell r="B1048" t="str">
            <v>轿顶检修箱</v>
          </cell>
          <cell r="C1048" t="str">
            <v>Car Roof Inspection Box</v>
          </cell>
          <cell r="V1048" t="str">
            <v xml:space="preserve">轿顶检修箱 </v>
          </cell>
        </row>
        <row r="1049">
          <cell r="B1049" t="str">
            <v>轿顶检修箱</v>
          </cell>
          <cell r="C1049" t="str">
            <v>Car Roof Inspection Box</v>
          </cell>
          <cell r="V1049" t="str">
            <v xml:space="preserve">轿顶检修箱 </v>
          </cell>
        </row>
        <row r="1050">
          <cell r="B1050" t="str">
            <v>主板</v>
          </cell>
          <cell r="C1050" t="str">
            <v>Mainboard</v>
          </cell>
          <cell r="V1050" t="str">
            <v>主板 Control System Type-Type-Safety Relay</v>
          </cell>
        </row>
        <row r="1051">
          <cell r="B1051" t="str">
            <v>主板</v>
          </cell>
          <cell r="C1051" t="str">
            <v>Mainboard</v>
          </cell>
          <cell r="V1051" t="str">
            <v>主板 MC2 MCU-E1.5 SR/N</v>
          </cell>
        </row>
        <row r="1052">
          <cell r="B1052" t="str">
            <v>CPI-主板通讯电缆</v>
          </cell>
          <cell r="C1052" t="str">
            <v>CPI-Mainboard C/Cable</v>
          </cell>
          <cell r="V1052" t="str">
            <v xml:space="preserve">CPI-主板通讯电缆 </v>
          </cell>
        </row>
        <row r="1053">
          <cell r="B1053" t="str">
            <v>CPI-主板通讯电缆</v>
          </cell>
          <cell r="C1053" t="str">
            <v>CPI-Mainboard C/Cable</v>
          </cell>
          <cell r="V1053" t="str">
            <v xml:space="preserve">CPI-主板通讯电缆 </v>
          </cell>
        </row>
        <row r="1054">
          <cell r="B1054" t="str">
            <v>曳引机照明灯电缆</v>
          </cell>
          <cell r="C1054" t="str">
            <v>T/M Lighting Lamp Cable</v>
          </cell>
          <cell r="V1054" t="str">
            <v xml:space="preserve">曳引机照明灯电缆 </v>
          </cell>
        </row>
        <row r="1055">
          <cell r="B1055" t="str">
            <v>曳引机照明灯电缆</v>
          </cell>
          <cell r="C1055" t="str">
            <v>T/M Lighting Lamp Cable</v>
          </cell>
          <cell r="V1055" t="str">
            <v xml:space="preserve">曳引机照明灯电缆 </v>
          </cell>
        </row>
        <row r="1056">
          <cell r="B1056" t="str">
            <v>松闸限速器控制电缆</v>
          </cell>
          <cell r="C1056" t="str">
            <v>Release Brake Governor Control Cable</v>
          </cell>
          <cell r="V1056" t="str">
            <v xml:space="preserve">松闸限速器控制电缆 </v>
          </cell>
        </row>
        <row r="1057">
          <cell r="B1057" t="str">
            <v>松闸限速器控制电缆</v>
          </cell>
          <cell r="C1057" t="str">
            <v>Release Brake Governor Control Cable</v>
          </cell>
          <cell r="V1057" t="str">
            <v xml:space="preserve">松闸限速器控制电缆 </v>
          </cell>
        </row>
        <row r="1058">
          <cell r="B1058" t="str">
            <v>松闸线圈控制电缆</v>
          </cell>
          <cell r="C1058" t="str">
            <v>Release Brake Coil Control Cable</v>
          </cell>
          <cell r="V1058" t="str">
            <v xml:space="preserve">松闸线圈控制电缆 </v>
          </cell>
        </row>
        <row r="1059">
          <cell r="B1059" t="str">
            <v>松闸线圈控制电缆</v>
          </cell>
          <cell r="C1059" t="str">
            <v>Release Brake Coil Control Cable</v>
          </cell>
          <cell r="V1059" t="str">
            <v xml:space="preserve">松闸线圈控制电缆 </v>
          </cell>
        </row>
        <row r="1060">
          <cell r="B1060" t="str">
            <v>插针</v>
          </cell>
          <cell r="C1060" t="str">
            <v>Contact Pin</v>
          </cell>
          <cell r="V1060" t="str">
            <v>插针 Manufacturer-Type</v>
          </cell>
        </row>
        <row r="1061">
          <cell r="B1061" t="str">
            <v>插针</v>
          </cell>
          <cell r="C1061" t="str">
            <v>Contact Pin</v>
          </cell>
          <cell r="V1061" t="str">
            <v>插针 AMP 350218-3</v>
          </cell>
        </row>
        <row r="1062">
          <cell r="B1062" t="str">
            <v>轿厢限速器控制电缆</v>
          </cell>
          <cell r="C1062" t="str">
            <v>Car Governor Control Cable</v>
          </cell>
          <cell r="V1062" t="str">
            <v xml:space="preserve">轿厢限速器控制电缆 </v>
          </cell>
        </row>
        <row r="1063">
          <cell r="B1063" t="str">
            <v>轿厢限速器控制电缆</v>
          </cell>
          <cell r="C1063" t="str">
            <v>Car Governor Control Cable</v>
          </cell>
          <cell r="V1063" t="str">
            <v xml:space="preserve">轿厢限速器控制电缆 </v>
          </cell>
        </row>
        <row r="1064">
          <cell r="B1064" t="str">
            <v>锁梯开关电缆</v>
          </cell>
          <cell r="C1064" t="str">
            <v>Lock Lift S/Cable</v>
          </cell>
          <cell r="V1064" t="str">
            <v>锁梯开关电缆 Parallel</v>
          </cell>
        </row>
        <row r="1065">
          <cell r="B1065" t="str">
            <v>锁梯开关电缆</v>
          </cell>
          <cell r="C1065" t="str">
            <v>Lock Lift S/Cable</v>
          </cell>
          <cell r="V1065" t="str">
            <v>锁梯开关电缆 Single</v>
          </cell>
        </row>
        <row r="1066">
          <cell r="B1066" t="str">
            <v>群控通讯电缆</v>
          </cell>
          <cell r="C1066" t="str">
            <v>Group Control C/Cable</v>
          </cell>
          <cell r="V1066" t="str">
            <v xml:space="preserve">群控通讯电缆 </v>
          </cell>
        </row>
        <row r="1067">
          <cell r="B1067" t="str">
            <v>群控通讯电缆</v>
          </cell>
          <cell r="C1067" t="str">
            <v>Group Control C/Cable</v>
          </cell>
          <cell r="V1067" t="str">
            <v xml:space="preserve">群控通讯电缆 </v>
          </cell>
        </row>
        <row r="1068">
          <cell r="B1068" t="str">
            <v>群控消防返回电缆</v>
          </cell>
          <cell r="C1068" t="str">
            <v>Group Control Fire Return Cable</v>
          </cell>
          <cell r="V1068" t="str">
            <v xml:space="preserve">群控消防返回电缆 </v>
          </cell>
        </row>
        <row r="1069">
          <cell r="B1069" t="str">
            <v>群控消防返回电缆</v>
          </cell>
          <cell r="C1069" t="str">
            <v>Group Control Fire Return Cable</v>
          </cell>
          <cell r="V1069" t="str">
            <v xml:space="preserve">群控消防返回电缆 </v>
          </cell>
        </row>
        <row r="1070">
          <cell r="B1070" t="str">
            <v>群控高峰服务电缆</v>
          </cell>
          <cell r="C1070" t="str">
            <v>Group Control Peak Service Cable</v>
          </cell>
          <cell r="V1070" t="str">
            <v xml:space="preserve">群控高峰服务电缆 </v>
          </cell>
        </row>
        <row r="1071">
          <cell r="B1071" t="str">
            <v>群控高峰服务电缆</v>
          </cell>
          <cell r="C1071" t="str">
            <v>Group Control Peak Service Cable</v>
          </cell>
          <cell r="V1071" t="str">
            <v xml:space="preserve">群控高峰服务电缆 </v>
          </cell>
        </row>
        <row r="1072">
          <cell r="B1072" t="str">
            <v>齿轮箱</v>
          </cell>
          <cell r="C1072" t="str">
            <v>Gear Box</v>
          </cell>
          <cell r="V1072" t="str">
            <v>齿轮箱 Type</v>
          </cell>
        </row>
        <row r="1073">
          <cell r="B1073" t="str">
            <v>齿轮箱</v>
          </cell>
          <cell r="C1073" t="str">
            <v>Gear Box</v>
          </cell>
          <cell r="V1073" t="str">
            <v xml:space="preserve">齿轮箱 </v>
          </cell>
        </row>
        <row r="1074">
          <cell r="B1074" t="str">
            <v>极限开关支架</v>
          </cell>
          <cell r="C1074" t="str">
            <v>Final Limit Switch Bracket</v>
          </cell>
          <cell r="V1074" t="str">
            <v xml:space="preserve">极限开关支架 </v>
          </cell>
        </row>
        <row r="1075">
          <cell r="B1075" t="str">
            <v>极限开关支架</v>
          </cell>
          <cell r="C1075" t="str">
            <v>Final Limit Switch Bracket</v>
          </cell>
          <cell r="V1075" t="str">
            <v xml:space="preserve">极限开关支架 </v>
          </cell>
        </row>
        <row r="1076">
          <cell r="B1076" t="str">
            <v>叉形裸端头</v>
          </cell>
          <cell r="C1076" t="str">
            <v>Fork Bare Terminal</v>
          </cell>
          <cell r="V1076" t="str">
            <v>叉形裸端头 Type</v>
          </cell>
        </row>
        <row r="1077">
          <cell r="B1077" t="str">
            <v>叉形裸端头</v>
          </cell>
          <cell r="C1077" t="str">
            <v>Fork Bare Terminal</v>
          </cell>
          <cell r="V1077" t="str">
            <v>叉形裸端头 1.25-3</v>
          </cell>
        </row>
        <row r="1078">
          <cell r="B1078" t="str">
            <v>电机</v>
          </cell>
          <cell r="C1078" t="str">
            <v>Motor</v>
          </cell>
          <cell r="V1078" t="str">
            <v>电机 Type</v>
          </cell>
        </row>
        <row r="1079">
          <cell r="B1079" t="str">
            <v>电机</v>
          </cell>
          <cell r="C1079" t="str">
            <v>Motor</v>
          </cell>
          <cell r="V1079" t="str">
            <v xml:space="preserve">电机 </v>
          </cell>
        </row>
        <row r="1080">
          <cell r="B1080" t="str">
            <v>撞弓</v>
          </cell>
          <cell r="C1080" t="str">
            <v>Cam</v>
          </cell>
          <cell r="V1080" t="str">
            <v xml:space="preserve">撞弓 </v>
          </cell>
        </row>
        <row r="1081">
          <cell r="B1081" t="str">
            <v>撞弓</v>
          </cell>
          <cell r="C1081" t="str">
            <v>Cam</v>
          </cell>
          <cell r="V1081" t="str">
            <v xml:space="preserve">撞弓 </v>
          </cell>
        </row>
        <row r="1082">
          <cell r="B1082" t="str">
            <v>撞弓组件</v>
          </cell>
          <cell r="C1082" t="str">
            <v>Cam Assy</v>
          </cell>
          <cell r="V1082" t="str">
            <v xml:space="preserve">撞弓组件 </v>
          </cell>
        </row>
        <row r="1083">
          <cell r="B1083" t="str">
            <v>撞弓组件</v>
          </cell>
          <cell r="C1083" t="str">
            <v>Cam Assy</v>
          </cell>
          <cell r="V1083" t="str">
            <v xml:space="preserve">撞弓组件 </v>
          </cell>
        </row>
        <row r="1084">
          <cell r="B1084" t="str">
            <v>撞弓支架</v>
          </cell>
          <cell r="C1084" t="str">
            <v>Cam Bracket</v>
          </cell>
          <cell r="V1084" t="str">
            <v xml:space="preserve">撞弓支架 </v>
          </cell>
        </row>
        <row r="1085">
          <cell r="B1085" t="str">
            <v>撞弓支架</v>
          </cell>
          <cell r="C1085" t="str">
            <v>Cam Bracket</v>
          </cell>
          <cell r="V1085" t="str">
            <v xml:space="preserve">撞弓支架 </v>
          </cell>
        </row>
        <row r="1086">
          <cell r="B1086" t="str">
            <v>盘车手轮开关电缆</v>
          </cell>
          <cell r="C1086" t="str">
            <v>Handwheel S/Cable</v>
          </cell>
          <cell r="V1086" t="str">
            <v xml:space="preserve">盘车手轮开关电缆 </v>
          </cell>
        </row>
        <row r="1087">
          <cell r="B1087" t="str">
            <v>盘车手轮开关电缆</v>
          </cell>
          <cell r="C1087" t="str">
            <v>Handwheel S/Cable</v>
          </cell>
          <cell r="V1087" t="str">
            <v xml:space="preserve">盘车手轮开关电缆 </v>
          </cell>
        </row>
        <row r="1088">
          <cell r="B1088" t="str">
            <v>底坑检修箱</v>
          </cell>
          <cell r="C1088" t="str">
            <v>Pit Inspection Box</v>
          </cell>
          <cell r="V1088" t="str">
            <v xml:space="preserve">底坑检修箱 </v>
          </cell>
        </row>
        <row r="1089">
          <cell r="B1089" t="str">
            <v>底坑检修箱</v>
          </cell>
          <cell r="C1089" t="str">
            <v>Pit Inspection Box</v>
          </cell>
          <cell r="V1089" t="str">
            <v xml:space="preserve">底坑检修箱 </v>
          </cell>
        </row>
        <row r="1090">
          <cell r="B1090" t="str">
            <v>光电开关</v>
          </cell>
          <cell r="C1090" t="str">
            <v>Photoelectric Switch</v>
          </cell>
          <cell r="V1090" t="str">
            <v>光电开关 Type</v>
          </cell>
        </row>
        <row r="1091">
          <cell r="B1091" t="str">
            <v>光电开关</v>
          </cell>
          <cell r="C1091" t="str">
            <v>Photoelectric Switch</v>
          </cell>
          <cell r="V1091" t="str">
            <v>光电开关 BUP-30S</v>
          </cell>
        </row>
        <row r="1092">
          <cell r="B1092" t="str">
            <v>箱体</v>
          </cell>
          <cell r="C1092" t="str">
            <v>Case</v>
          </cell>
          <cell r="V1092" t="str">
            <v xml:space="preserve">箱体 </v>
          </cell>
        </row>
        <row r="1093">
          <cell r="B1093" t="str">
            <v>箱体</v>
          </cell>
          <cell r="C1093" t="str">
            <v>Case</v>
          </cell>
          <cell r="V1093" t="str">
            <v xml:space="preserve">箱体 </v>
          </cell>
        </row>
        <row r="1094">
          <cell r="B1094" t="str">
            <v>轿顶感应组件</v>
          </cell>
          <cell r="C1094" t="str">
            <v>Car Roof Induction Assy</v>
          </cell>
          <cell r="V1094" t="str">
            <v xml:space="preserve">轿顶感应组件 </v>
          </cell>
        </row>
        <row r="1095">
          <cell r="B1095" t="str">
            <v>轿顶感应组件</v>
          </cell>
          <cell r="C1095" t="str">
            <v>Car Roof Induction Assy</v>
          </cell>
          <cell r="V1095" t="str">
            <v xml:space="preserve">轿顶感应组件 </v>
          </cell>
        </row>
        <row r="1096">
          <cell r="B1096" t="str">
            <v>箱体组件</v>
          </cell>
          <cell r="C1096" t="str">
            <v>Case Assy</v>
          </cell>
          <cell r="V1096" t="str">
            <v xml:space="preserve">箱体组件 </v>
          </cell>
        </row>
        <row r="1097">
          <cell r="B1097" t="str">
            <v>箱体组件</v>
          </cell>
          <cell r="C1097" t="str">
            <v>Case Assy</v>
          </cell>
          <cell r="V1097" t="str">
            <v xml:space="preserve">箱体组件 </v>
          </cell>
        </row>
        <row r="1098">
          <cell r="B1098" t="str">
            <v>接线座</v>
          </cell>
          <cell r="C1098" t="str">
            <v>Connector Seat</v>
          </cell>
          <cell r="V1098" t="str">
            <v>接线座 Type-Spec-Cores</v>
          </cell>
        </row>
        <row r="1099">
          <cell r="B1099" t="str">
            <v>接线座</v>
          </cell>
          <cell r="C1099" t="str">
            <v>Connector Seat</v>
          </cell>
          <cell r="V1099" t="str">
            <v>接线座 EK16 250V/20A 12P</v>
          </cell>
        </row>
        <row r="1100">
          <cell r="B1100" t="str">
            <v>套管</v>
          </cell>
          <cell r="C1100" t="str">
            <v>Conduit</v>
          </cell>
          <cell r="V1100" t="str">
            <v>套管 Material-Inside Diameter (mm)</v>
          </cell>
        </row>
        <row r="1101">
          <cell r="B1101" t="str">
            <v>套管</v>
          </cell>
          <cell r="C1101" t="str">
            <v>Conduit</v>
          </cell>
          <cell r="V1101" t="str">
            <v>套管 PVC d3</v>
          </cell>
        </row>
        <row r="1102">
          <cell r="B1102" t="str">
            <v>扎线带</v>
          </cell>
          <cell r="C1102" t="str">
            <v>Cable Tie</v>
          </cell>
          <cell r="V1102" t="str">
            <v>扎线带 Type-Dimension-Material</v>
          </cell>
        </row>
        <row r="1103">
          <cell r="B1103" t="str">
            <v>扎线带</v>
          </cell>
          <cell r="C1103" t="str">
            <v>Cable Tie</v>
          </cell>
          <cell r="V1103" t="str">
            <v>扎线带 B01-20100 3*150 Nylon</v>
          </cell>
        </row>
        <row r="1104">
          <cell r="B1104" t="str">
            <v>接插件</v>
          </cell>
          <cell r="C1104" t="str">
            <v>Socket Connector</v>
          </cell>
          <cell r="V1104" t="str">
            <v>接插件 Type-Cores</v>
          </cell>
        </row>
        <row r="1105">
          <cell r="B1105" t="str">
            <v>接插件</v>
          </cell>
          <cell r="C1105" t="str">
            <v>Socket Connector</v>
          </cell>
          <cell r="V1105" t="str">
            <v>接插件 1-480705-0 6P</v>
          </cell>
        </row>
        <row r="1106">
          <cell r="B1106" t="str">
            <v>接插件端盖</v>
          </cell>
          <cell r="C1106" t="str">
            <v>Socket Connector Cap</v>
          </cell>
          <cell r="V1106" t="str">
            <v xml:space="preserve">接插件端盖 </v>
          </cell>
        </row>
        <row r="1107">
          <cell r="B1107" t="str">
            <v>接插件端盖</v>
          </cell>
          <cell r="C1107" t="str">
            <v>Socket Connector Cap</v>
          </cell>
          <cell r="V1107" t="str">
            <v xml:space="preserve">接插件端盖 </v>
          </cell>
        </row>
        <row r="1108">
          <cell r="B1108" t="str">
            <v>面板</v>
          </cell>
          <cell r="C1108" t="str">
            <v>Faceplate</v>
          </cell>
          <cell r="V1108" t="str">
            <v xml:space="preserve">面板 </v>
          </cell>
        </row>
        <row r="1109">
          <cell r="B1109" t="str">
            <v>面板</v>
          </cell>
          <cell r="C1109" t="str">
            <v>Faceplate</v>
          </cell>
          <cell r="V1109" t="str">
            <v xml:space="preserve">面板 </v>
          </cell>
        </row>
        <row r="1110">
          <cell r="B1110" t="str">
            <v>按钮头</v>
          </cell>
          <cell r="C1110" t="str">
            <v>Button Head</v>
          </cell>
          <cell r="V1110" t="str">
            <v>按钮头 Type</v>
          </cell>
        </row>
        <row r="1111">
          <cell r="B1111" t="str">
            <v>按钮头</v>
          </cell>
          <cell r="C1111" t="str">
            <v>Button Head</v>
          </cell>
          <cell r="V1111" t="str">
            <v>按钮头 ZB2-BA335C</v>
          </cell>
        </row>
        <row r="1112">
          <cell r="B1112" t="str">
            <v>标签</v>
          </cell>
          <cell r="C1112" t="str">
            <v>Label</v>
          </cell>
          <cell r="V1112" t="str">
            <v xml:space="preserve">标签 </v>
          </cell>
        </row>
        <row r="1113">
          <cell r="B1113" t="str">
            <v>标签</v>
          </cell>
          <cell r="C1113" t="str">
            <v>Label</v>
          </cell>
          <cell r="V1113" t="str">
            <v xml:space="preserve">标签  </v>
          </cell>
        </row>
        <row r="1114">
          <cell r="B1114" t="str">
            <v>辅助触点</v>
          </cell>
          <cell r="C1114" t="str">
            <v>Auxiliary Contact</v>
          </cell>
          <cell r="V1114" t="str">
            <v>辅助触点 Type</v>
          </cell>
        </row>
        <row r="1115">
          <cell r="B1115" t="str">
            <v>辅助触点</v>
          </cell>
          <cell r="C1115" t="str">
            <v>Auxiliary Contact</v>
          </cell>
          <cell r="V1115" t="str">
            <v>辅助触点 LA1-DN20C</v>
          </cell>
        </row>
        <row r="1116">
          <cell r="B1116" t="str">
            <v>紧固件组合</v>
          </cell>
          <cell r="C1116" t="str">
            <v>Fastener Assy</v>
          </cell>
          <cell r="V1116" t="str">
            <v>紧固件组合 Spec.-Standard Code</v>
          </cell>
        </row>
        <row r="1117">
          <cell r="B1117" t="str">
            <v>紧固件组合</v>
          </cell>
          <cell r="C1117" t="str">
            <v>Fastener Assy</v>
          </cell>
          <cell r="V1117" t="str">
            <v>紧固件组合 M6*20 GB/T9074.4</v>
          </cell>
        </row>
        <row r="1118">
          <cell r="B1118" t="str">
            <v>焊接螺柱</v>
          </cell>
          <cell r="C1118" t="str">
            <v>Weld Stud</v>
          </cell>
          <cell r="V1118" t="str">
            <v>焊接螺柱 Spec.-Standard Code</v>
          </cell>
        </row>
        <row r="1119">
          <cell r="B1119" t="str">
            <v>焊接螺柱</v>
          </cell>
          <cell r="C1119" t="str">
            <v>Weld Stud</v>
          </cell>
          <cell r="V1119" t="str">
            <v>焊接螺柱 M10*50 GB/T902.2</v>
          </cell>
        </row>
        <row r="1120">
          <cell r="B1120" t="str">
            <v>六角法兰面螺母</v>
          </cell>
          <cell r="C1120" t="str">
            <v>Hexagon Nut with Flange</v>
          </cell>
          <cell r="V1120" t="str">
            <v>六角法兰面螺母 Spec.-Standard Code</v>
          </cell>
        </row>
        <row r="1121">
          <cell r="B1121" t="str">
            <v>六角法兰面螺母</v>
          </cell>
          <cell r="C1121" t="str">
            <v>Hexagon Nut with Flange</v>
          </cell>
          <cell r="V1121" t="str">
            <v>六角法兰面螺母 M12 GB/T6177.1</v>
          </cell>
        </row>
        <row r="1122">
          <cell r="B1122" t="str">
            <v>六角法兰面螺母</v>
          </cell>
          <cell r="C1122" t="str">
            <v>Hexagon Nut with Flange</v>
          </cell>
          <cell r="V1122" t="str">
            <v>六角法兰面螺母 M12 GB/T6177.2</v>
          </cell>
        </row>
        <row r="1123">
          <cell r="B1123" t="str">
            <v>铆螺母</v>
          </cell>
          <cell r="C1123" t="str">
            <v>Riveted Nut</v>
          </cell>
          <cell r="V1123" t="str">
            <v>铆螺母 Spec.-Standard Code</v>
          </cell>
        </row>
        <row r="1124">
          <cell r="B1124" t="str">
            <v>铆螺母</v>
          </cell>
          <cell r="C1124" t="str">
            <v>Riveted Nut</v>
          </cell>
          <cell r="V1124" t="str">
            <v>铆螺母 M8*16.5 GB/T17880.2</v>
          </cell>
        </row>
        <row r="1125">
          <cell r="B1125" t="str">
            <v>外召附加电源电缆</v>
          </cell>
          <cell r="C1125" t="str">
            <v>Landing Additional P/Cable</v>
          </cell>
          <cell r="V1125" t="str">
            <v xml:space="preserve">外召附加电源电缆 </v>
          </cell>
        </row>
        <row r="1126">
          <cell r="B1126" t="str">
            <v>外召附加电源电缆</v>
          </cell>
          <cell r="C1126" t="str">
            <v>Landing Additional P/Cable</v>
          </cell>
          <cell r="V1126" t="str">
            <v xml:space="preserve">外召附加电源电缆 </v>
          </cell>
        </row>
        <row r="1127">
          <cell r="B1127" t="str">
            <v>对重限速器控制电缆</v>
          </cell>
          <cell r="C1127" t="str">
            <v>CWT Governor Control Cable</v>
          </cell>
          <cell r="V1127" t="str">
            <v xml:space="preserve">对重限速器控制电缆 </v>
          </cell>
        </row>
        <row r="1128">
          <cell r="B1128" t="str">
            <v>对重限速器控制电缆</v>
          </cell>
          <cell r="C1128" t="str">
            <v>CWT Governor Control Cable</v>
          </cell>
          <cell r="V1128" t="str">
            <v xml:space="preserve">对重限速器控制电缆 </v>
          </cell>
        </row>
        <row r="1129">
          <cell r="B1129" t="str">
            <v>球型节</v>
          </cell>
          <cell r="C1129" t="str">
            <v>Spherical Joint</v>
          </cell>
          <cell r="V1129" t="str">
            <v xml:space="preserve">球型节 </v>
          </cell>
        </row>
        <row r="1130">
          <cell r="B1130" t="str">
            <v>球型节</v>
          </cell>
          <cell r="C1130" t="str">
            <v>Spherical Joint</v>
          </cell>
          <cell r="V1130" t="str">
            <v xml:space="preserve">球型节 </v>
          </cell>
        </row>
        <row r="1131">
          <cell r="B1131" t="str">
            <v>球型衬</v>
          </cell>
          <cell r="C1131" t="str">
            <v>Spherical Liner</v>
          </cell>
          <cell r="V1131" t="str">
            <v xml:space="preserve">球型衬 </v>
          </cell>
        </row>
        <row r="1132">
          <cell r="B1132" t="str">
            <v>球型衬</v>
          </cell>
          <cell r="C1132" t="str">
            <v>Spherical Liner</v>
          </cell>
          <cell r="V1132" t="str">
            <v xml:space="preserve">球型衬 </v>
          </cell>
        </row>
        <row r="1133">
          <cell r="B1133" t="str">
            <v>压板</v>
          </cell>
          <cell r="C1133" t="str">
            <v>Clamp Plate</v>
          </cell>
          <cell r="V1133" t="str">
            <v xml:space="preserve">压板 </v>
          </cell>
        </row>
        <row r="1134">
          <cell r="B1134" t="str">
            <v>压板</v>
          </cell>
          <cell r="C1134" t="str">
            <v>Clamp Plate</v>
          </cell>
          <cell r="V1134" t="str">
            <v xml:space="preserve">压板 </v>
          </cell>
        </row>
        <row r="1135">
          <cell r="B1135" t="str">
            <v>油杯组件</v>
          </cell>
          <cell r="C1135" t="str">
            <v>Oil Cup Assy</v>
          </cell>
          <cell r="V1135" t="str">
            <v>油杯组件 Type</v>
          </cell>
        </row>
        <row r="1136">
          <cell r="B1136" t="str">
            <v>油杯组件</v>
          </cell>
          <cell r="C1136" t="str">
            <v>Oil Cup Assy</v>
          </cell>
          <cell r="V1136" t="str">
            <v>油杯组件 ETG09-01</v>
          </cell>
        </row>
        <row r="1137">
          <cell r="B1137" t="str">
            <v>绳轮支撑板</v>
          </cell>
          <cell r="C1137" t="str">
            <v>Rope Pulley Supporting Plate</v>
          </cell>
          <cell r="V1137" t="str">
            <v xml:space="preserve">绳轮支撑板 </v>
          </cell>
        </row>
        <row r="1138">
          <cell r="B1138" t="str">
            <v>绳轮支撑板</v>
          </cell>
          <cell r="C1138" t="str">
            <v>Rope Pulley Supporting Plate</v>
          </cell>
          <cell r="V1138" t="str">
            <v xml:space="preserve">绳轮支撑板 </v>
          </cell>
        </row>
        <row r="1139">
          <cell r="B1139" t="str">
            <v>开关支架</v>
          </cell>
          <cell r="C1139" t="str">
            <v>Switch Bracket</v>
          </cell>
          <cell r="V1139" t="str">
            <v xml:space="preserve">开关支架 </v>
          </cell>
        </row>
        <row r="1140">
          <cell r="B1140" t="str">
            <v>开关支架</v>
          </cell>
          <cell r="C1140" t="str">
            <v>Switch Bracket</v>
          </cell>
          <cell r="V1140" t="str">
            <v xml:space="preserve">开关支架 </v>
          </cell>
        </row>
        <row r="1141">
          <cell r="B1141" t="str">
            <v>磁开关</v>
          </cell>
          <cell r="C1141" t="str">
            <v>Magnetic Switch</v>
          </cell>
          <cell r="V1141" t="str">
            <v>磁开关 Type</v>
          </cell>
        </row>
        <row r="1142">
          <cell r="B1142" t="str">
            <v>磁开关</v>
          </cell>
          <cell r="C1142" t="str">
            <v>Magnetic Switch</v>
          </cell>
          <cell r="V1142" t="str">
            <v>磁开关 YG-39G1K</v>
          </cell>
        </row>
        <row r="1143">
          <cell r="B1143" t="str">
            <v>磁开关支架</v>
          </cell>
          <cell r="C1143" t="str">
            <v>Magnetic Switch Bracket</v>
          </cell>
          <cell r="V1143" t="str">
            <v xml:space="preserve">磁开关支架 </v>
          </cell>
        </row>
        <row r="1144">
          <cell r="B1144" t="str">
            <v>磁开关支架</v>
          </cell>
          <cell r="C1144" t="str">
            <v>Magnetic Switch Bracket</v>
          </cell>
          <cell r="V1144" t="str">
            <v xml:space="preserve">磁开关支架 </v>
          </cell>
        </row>
        <row r="1145">
          <cell r="B1145" t="str">
            <v>管形裸端头</v>
          </cell>
          <cell r="C1145" t="str">
            <v>Tubular Bare Terminal</v>
          </cell>
          <cell r="V1145" t="str">
            <v>管形裸端头 Type-Section</v>
          </cell>
        </row>
        <row r="1146">
          <cell r="B1146" t="str">
            <v>管形裸端头</v>
          </cell>
          <cell r="C1146" t="str">
            <v>Tubular Bare Terminal</v>
          </cell>
          <cell r="V1146" t="str">
            <v>管形裸端头 6mm2</v>
          </cell>
        </row>
        <row r="1147">
          <cell r="B1147" t="str">
            <v>厅门左门</v>
          </cell>
          <cell r="C1147" t="str">
            <v>Landing Left Door</v>
          </cell>
          <cell r="V1147" t="str">
            <v>厅门左门 Style-Door Clear Opening Width(mm)-Door Clear Height(mm)-Surface Finish</v>
          </cell>
        </row>
        <row r="1148">
          <cell r="B1148" t="str">
            <v>厅门左门</v>
          </cell>
          <cell r="C1148" t="str">
            <v>Landing Left Door</v>
          </cell>
          <cell r="V1148" t="str">
            <v>厅门左门 FP DW900 DH2100 FS/0.6/HL</v>
          </cell>
        </row>
        <row r="1149">
          <cell r="B1149" t="str">
            <v>厅门右门</v>
          </cell>
          <cell r="C1149" t="str">
            <v>Landing Right Door</v>
          </cell>
          <cell r="V1149" t="str">
            <v>厅门右门 Style-Door Clear Opening Width(mm)-Door Clear Height(mm)-Surface Finish</v>
          </cell>
        </row>
        <row r="1150">
          <cell r="B1150" t="str">
            <v>厅门右门</v>
          </cell>
          <cell r="C1150" t="str">
            <v>Landing Right Door</v>
          </cell>
          <cell r="V1150" t="str">
            <v>厅门右门 Glass DW900 DH2100 FS/0.6/HL</v>
          </cell>
        </row>
        <row r="1151">
          <cell r="B1151" t="str">
            <v>装饰板</v>
          </cell>
          <cell r="C1151" t="str">
            <v>Decoration Plate</v>
          </cell>
          <cell r="V1151" t="str">
            <v>装饰板 Type-Door Clear Opening Width(mm)-Door Clear Height(mm)</v>
          </cell>
        </row>
        <row r="1152">
          <cell r="B1152" t="str">
            <v>装饰板</v>
          </cell>
          <cell r="C1152" t="str">
            <v>Decoration Plate</v>
          </cell>
          <cell r="V1152" t="str">
            <v>装饰板 S200 DW900 DH2100</v>
          </cell>
        </row>
        <row r="1153">
          <cell r="B1153" t="str">
            <v>螺栓焊接件</v>
          </cell>
          <cell r="C1153" t="str">
            <v>Bolt Weldment</v>
          </cell>
          <cell r="V1153" t="str">
            <v xml:space="preserve">螺栓焊接件 </v>
          </cell>
        </row>
        <row r="1154">
          <cell r="B1154" t="str">
            <v>螺栓焊接件</v>
          </cell>
          <cell r="C1154" t="str">
            <v>Bolt Weldment</v>
          </cell>
          <cell r="V1154" t="str">
            <v xml:space="preserve">螺栓焊接件 </v>
          </cell>
        </row>
        <row r="1155">
          <cell r="B1155" t="str">
            <v>防尘罩</v>
          </cell>
          <cell r="C1155" t="str">
            <v>Dustproof Cover</v>
          </cell>
          <cell r="V1155" t="str">
            <v xml:space="preserve">防尘罩 </v>
          </cell>
        </row>
        <row r="1156">
          <cell r="B1156" t="str">
            <v>防尘罩</v>
          </cell>
          <cell r="C1156" t="str">
            <v>Dustproof Cover</v>
          </cell>
          <cell r="V1156" t="str">
            <v xml:space="preserve">防尘罩 </v>
          </cell>
        </row>
        <row r="1157">
          <cell r="B1157" t="str">
            <v>厅门安装支架</v>
          </cell>
          <cell r="C1157" t="str">
            <v>L/Door Fixing Bracket</v>
          </cell>
          <cell r="V1157" t="str">
            <v xml:space="preserve">厅门安装支架 </v>
          </cell>
        </row>
        <row r="1158">
          <cell r="B1158" t="str">
            <v>厅门安装支架</v>
          </cell>
          <cell r="C1158" t="str">
            <v>L/Door Fixing Bracket</v>
          </cell>
          <cell r="V1158" t="str">
            <v xml:space="preserve">厅门安装支架 </v>
          </cell>
        </row>
        <row r="1159">
          <cell r="B1159" t="str">
            <v>立柱安装支架</v>
          </cell>
          <cell r="C1159" t="str">
            <v>Post Fixing Bracket</v>
          </cell>
          <cell r="V1159" t="str">
            <v xml:space="preserve">立柱安装支架 </v>
          </cell>
        </row>
        <row r="1160">
          <cell r="B1160" t="str">
            <v>立柱安装支架</v>
          </cell>
          <cell r="C1160" t="str">
            <v>Post Fixing Bracket</v>
          </cell>
          <cell r="V1160" t="str">
            <v xml:space="preserve">立柱安装支架 </v>
          </cell>
        </row>
        <row r="1161">
          <cell r="B1161" t="str">
            <v>调整支架</v>
          </cell>
          <cell r="C1161" t="str">
            <v>Adjusting Bracket</v>
          </cell>
          <cell r="V1161" t="str">
            <v>调整支架 Position</v>
          </cell>
        </row>
        <row r="1162">
          <cell r="B1162" t="str">
            <v>调整支架</v>
          </cell>
          <cell r="C1162" t="str">
            <v>Adjusting Bracket</v>
          </cell>
          <cell r="V1162" t="str">
            <v>调整支架 Up</v>
          </cell>
        </row>
        <row r="1163">
          <cell r="B1163" t="str">
            <v>调整支架</v>
          </cell>
          <cell r="C1163" t="str">
            <v>Adjusting Bracket</v>
          </cell>
          <cell r="V1163" t="str">
            <v>调整支架 Left</v>
          </cell>
        </row>
        <row r="1164">
          <cell r="B1164" t="str">
            <v>防撞橡胶</v>
          </cell>
          <cell r="C1164" t="str">
            <v>Anti-collision Rubber</v>
          </cell>
          <cell r="V1164" t="str">
            <v xml:space="preserve">防撞橡胶 </v>
          </cell>
        </row>
        <row r="1165">
          <cell r="B1165" t="str">
            <v>防撞橡胶</v>
          </cell>
          <cell r="C1165" t="str">
            <v>Anti-collision Rubber</v>
          </cell>
          <cell r="V1165" t="str">
            <v xml:space="preserve">防撞橡胶 </v>
          </cell>
        </row>
        <row r="1166">
          <cell r="B1166" t="str">
            <v>限位开关</v>
          </cell>
          <cell r="C1166" t="str">
            <v>Limit Switch</v>
          </cell>
          <cell r="V1166" t="str">
            <v>限位开关 Type</v>
          </cell>
        </row>
        <row r="1167">
          <cell r="B1167" t="str">
            <v>限位开关</v>
          </cell>
          <cell r="C1167" t="str">
            <v>Limit Switch</v>
          </cell>
          <cell r="V1167" t="str">
            <v>限位开关 S3-B EL-1370</v>
          </cell>
        </row>
        <row r="1168">
          <cell r="B1168" t="str">
            <v>外召电源电缆</v>
          </cell>
          <cell r="C1168" t="str">
            <v>Landing P/Cable</v>
          </cell>
          <cell r="V1168" t="str">
            <v xml:space="preserve">外召电源电缆 </v>
          </cell>
        </row>
        <row r="1169">
          <cell r="B1169" t="str">
            <v>外召电源电缆</v>
          </cell>
          <cell r="C1169" t="str">
            <v>Landing P/Cable</v>
          </cell>
          <cell r="V1169" t="str">
            <v xml:space="preserve">外召电源电缆 </v>
          </cell>
        </row>
        <row r="1170">
          <cell r="B1170" t="str">
            <v>外召电源电缆分支</v>
          </cell>
          <cell r="C1170" t="str">
            <v>Landing P/Cable Branch</v>
          </cell>
          <cell r="V1170" t="str">
            <v xml:space="preserve">外召电源电缆分支 </v>
          </cell>
        </row>
        <row r="1171">
          <cell r="B1171" t="str">
            <v>外召电源电缆分支</v>
          </cell>
          <cell r="C1171" t="str">
            <v>Landing P/Cable Branch</v>
          </cell>
          <cell r="V1171" t="str">
            <v xml:space="preserve">外召电源电缆分支 </v>
          </cell>
        </row>
        <row r="1172">
          <cell r="B1172" t="str">
            <v>外召通讯电缆</v>
          </cell>
          <cell r="C1172" t="str">
            <v>Landing C/Cable</v>
          </cell>
          <cell r="V1172" t="str">
            <v>外召通讯电缆 Position</v>
          </cell>
        </row>
        <row r="1173">
          <cell r="B1173" t="str">
            <v>外召通讯电缆</v>
          </cell>
          <cell r="C1173" t="str">
            <v>Landing C/Cable</v>
          </cell>
          <cell r="V1173" t="str">
            <v>外召通讯电缆 Back</v>
          </cell>
        </row>
        <row r="1174">
          <cell r="B1174" t="str">
            <v>外召通讯电缆分支</v>
          </cell>
          <cell r="C1174" t="str">
            <v>Landing C/Cable Branch</v>
          </cell>
          <cell r="V1174" t="str">
            <v xml:space="preserve">外召通讯电缆分支 </v>
          </cell>
        </row>
        <row r="1175">
          <cell r="B1175" t="str">
            <v>外召通讯电缆分支</v>
          </cell>
          <cell r="C1175" t="str">
            <v>Landing C/Cable Branch</v>
          </cell>
          <cell r="V1175" t="str">
            <v xml:space="preserve">外召通讯电缆分支 </v>
          </cell>
        </row>
        <row r="1176">
          <cell r="B1176" t="str">
            <v>厅门锁电缆</v>
          </cell>
          <cell r="C1176" t="str">
            <v>L/Door Lock Cable</v>
          </cell>
          <cell r="V1176" t="str">
            <v>厅门锁电缆 Position</v>
          </cell>
        </row>
        <row r="1177">
          <cell r="B1177" t="str">
            <v>厅门锁电缆</v>
          </cell>
          <cell r="C1177" t="str">
            <v>L/Door Lock Cable</v>
          </cell>
          <cell r="V1177" t="str">
            <v>厅门锁电缆 Front</v>
          </cell>
        </row>
        <row r="1178">
          <cell r="B1178" t="str">
            <v>厅门锁电缆分支</v>
          </cell>
          <cell r="C1178" t="str">
            <v>L/Door Lock Cable Branch</v>
          </cell>
          <cell r="V1178" t="str">
            <v>厅门锁电缆分支 Position</v>
          </cell>
        </row>
        <row r="1179">
          <cell r="B1179" t="str">
            <v>厅门锁电缆分支</v>
          </cell>
          <cell r="C1179" t="str">
            <v>L/Door Lock Cable Branch</v>
          </cell>
          <cell r="V1179" t="str">
            <v>厅门锁电缆分支 Back</v>
          </cell>
        </row>
        <row r="1180">
          <cell r="B1180" t="str">
            <v>底坑对讲电缆</v>
          </cell>
          <cell r="C1180" t="str">
            <v>Pit Intercom Cable</v>
          </cell>
          <cell r="V1180" t="str">
            <v xml:space="preserve">底坑对讲电缆 </v>
          </cell>
        </row>
        <row r="1181">
          <cell r="B1181" t="str">
            <v>底坑对讲电缆</v>
          </cell>
          <cell r="C1181" t="str">
            <v>Pit Intercom Cable</v>
          </cell>
          <cell r="V1181" t="str">
            <v xml:space="preserve">底坑对讲电缆 </v>
          </cell>
        </row>
        <row r="1182">
          <cell r="B1182" t="str">
            <v>底坑电缆</v>
          </cell>
          <cell r="C1182" t="str">
            <v>Pit Cable</v>
          </cell>
          <cell r="V1182" t="str">
            <v xml:space="preserve">底坑电缆 </v>
          </cell>
        </row>
        <row r="1183">
          <cell r="B1183" t="str">
            <v>底坑电缆</v>
          </cell>
          <cell r="C1183" t="str">
            <v>Pit Cable</v>
          </cell>
          <cell r="V1183" t="str">
            <v xml:space="preserve">底坑电缆 </v>
          </cell>
        </row>
        <row r="1184">
          <cell r="B1184" t="str">
            <v>基站</v>
          </cell>
          <cell r="C1184" t="str">
            <v>Home Landing</v>
          </cell>
          <cell r="V1184" t="str">
            <v xml:space="preserve">基站 </v>
          </cell>
        </row>
        <row r="1185">
          <cell r="B1185" t="str">
            <v>基站</v>
          </cell>
          <cell r="C1185" t="str">
            <v>Home Landing</v>
          </cell>
          <cell r="V1185" t="str">
            <v xml:space="preserve">基站 </v>
          </cell>
        </row>
        <row r="1186">
          <cell r="B1186" t="str">
            <v>基站锁电缆</v>
          </cell>
          <cell r="C1186" t="str">
            <v>Home Landing Lock Cable</v>
          </cell>
          <cell r="V1186" t="str">
            <v xml:space="preserve">基站锁电缆 </v>
          </cell>
        </row>
        <row r="1187">
          <cell r="B1187" t="str">
            <v>基站锁电缆</v>
          </cell>
          <cell r="C1187" t="str">
            <v>Home Landing Lock Cable</v>
          </cell>
          <cell r="V1187" t="str">
            <v xml:space="preserve">基站锁电缆 </v>
          </cell>
        </row>
        <row r="1188">
          <cell r="B1188" t="str">
            <v>井道电源盒</v>
          </cell>
          <cell r="C1188" t="str">
            <v>Shaft Power Box</v>
          </cell>
          <cell r="V1188" t="str">
            <v xml:space="preserve">井道电源盒 </v>
          </cell>
        </row>
        <row r="1189">
          <cell r="B1189" t="str">
            <v>井道电源盒</v>
          </cell>
          <cell r="C1189" t="str">
            <v>Shaft Power Box</v>
          </cell>
          <cell r="V1189" t="str">
            <v xml:space="preserve">井道电源盒 </v>
          </cell>
        </row>
        <row r="1190">
          <cell r="B1190" t="str">
            <v>井道电源盒电源电缆</v>
          </cell>
          <cell r="C1190" t="str">
            <v>Shaft Power Box P/Cable</v>
          </cell>
          <cell r="V1190" t="str">
            <v xml:space="preserve">井道电源盒电源电缆 </v>
          </cell>
        </row>
        <row r="1191">
          <cell r="B1191" t="str">
            <v>井道电源盒电源电缆</v>
          </cell>
          <cell r="C1191" t="str">
            <v>Shaft Power Box P/Cable</v>
          </cell>
          <cell r="V1191" t="str">
            <v xml:space="preserve">井道电源盒电源电缆 </v>
          </cell>
        </row>
        <row r="1192">
          <cell r="B1192" t="str">
            <v>警铃</v>
          </cell>
          <cell r="C1192" t="str">
            <v>Alarm</v>
          </cell>
          <cell r="V1192" t="str">
            <v>警铃 Type</v>
          </cell>
        </row>
        <row r="1193">
          <cell r="B1193" t="str">
            <v>警铃</v>
          </cell>
          <cell r="C1193" t="str">
            <v>Alarm</v>
          </cell>
          <cell r="V1193" t="str">
            <v>警铃 uc4-75</v>
          </cell>
        </row>
        <row r="1194">
          <cell r="B1194" t="str">
            <v>警铃电缆</v>
          </cell>
          <cell r="C1194" t="str">
            <v>Alarm Cable</v>
          </cell>
          <cell r="V1194" t="str">
            <v xml:space="preserve">警铃电缆 </v>
          </cell>
        </row>
        <row r="1195">
          <cell r="B1195" t="str">
            <v>警铃电缆</v>
          </cell>
          <cell r="C1195" t="str">
            <v>Alarm Cable</v>
          </cell>
          <cell r="V1195" t="str">
            <v xml:space="preserve">警铃电缆 </v>
          </cell>
        </row>
        <row r="1196">
          <cell r="B1196" t="str">
            <v>下极限开关电缆</v>
          </cell>
          <cell r="C1196" t="str">
            <v>Bottom Final Limit S/Cable</v>
          </cell>
          <cell r="V1196" t="str">
            <v xml:space="preserve">下极限开关电缆 </v>
          </cell>
        </row>
        <row r="1197">
          <cell r="B1197" t="str">
            <v>下极限开关电缆</v>
          </cell>
          <cell r="C1197" t="str">
            <v>Bottom Final Limit S/Cable</v>
          </cell>
          <cell r="V1197" t="str">
            <v xml:space="preserve">下极限开关电缆 </v>
          </cell>
        </row>
        <row r="1198">
          <cell r="B1198" t="str">
            <v>上极限开关电缆</v>
          </cell>
          <cell r="C1198" t="str">
            <v>Top Final Limit S/Cable</v>
          </cell>
          <cell r="V1198" t="str">
            <v xml:space="preserve">上极限开关电缆 </v>
          </cell>
        </row>
        <row r="1199">
          <cell r="B1199" t="str">
            <v>上极限开关电缆</v>
          </cell>
          <cell r="C1199" t="str">
            <v>Top Final Limit S/Cable</v>
          </cell>
          <cell r="V1199" t="str">
            <v xml:space="preserve">上极限开关电缆 </v>
          </cell>
        </row>
        <row r="1200">
          <cell r="B1200" t="str">
            <v>消防紧急返回电缆</v>
          </cell>
          <cell r="C1200" t="str">
            <v>Fire Return Cable</v>
          </cell>
          <cell r="V1200" t="str">
            <v xml:space="preserve">消防紧急返回电缆 </v>
          </cell>
        </row>
        <row r="1201">
          <cell r="B1201" t="str">
            <v>消防紧急返回电缆</v>
          </cell>
          <cell r="C1201" t="str">
            <v>Fire Return Cable</v>
          </cell>
          <cell r="V1201" t="str">
            <v xml:space="preserve">消防紧急返回电缆 </v>
          </cell>
        </row>
        <row r="1202">
          <cell r="B1202" t="str">
            <v>消防返回到位电缆</v>
          </cell>
          <cell r="C1202" t="str">
            <v>Fire Return Complete Cable</v>
          </cell>
          <cell r="V1202" t="str">
            <v xml:space="preserve">消防返回到位电缆 </v>
          </cell>
        </row>
        <row r="1203">
          <cell r="B1203" t="str">
            <v>消防返回到位电缆</v>
          </cell>
          <cell r="C1203" t="str">
            <v>Fire Return Complete Cable</v>
          </cell>
          <cell r="V1203" t="str">
            <v xml:space="preserve">消防返回到位电缆 </v>
          </cell>
        </row>
        <row r="1204">
          <cell r="B1204" t="str">
            <v>消防员操作电缆</v>
          </cell>
          <cell r="C1204" t="str">
            <v>Fireman Operation Cable</v>
          </cell>
          <cell r="V1204" t="str">
            <v xml:space="preserve">消防员操作电缆 </v>
          </cell>
        </row>
        <row r="1205">
          <cell r="B1205" t="str">
            <v>消防员操作电缆</v>
          </cell>
          <cell r="C1205" t="str">
            <v>Fireman Operation Cable</v>
          </cell>
          <cell r="V1205" t="str">
            <v xml:space="preserve">消防员操作电缆 </v>
          </cell>
        </row>
        <row r="1206">
          <cell r="B1206" t="str">
            <v>消防平层开关电缆</v>
          </cell>
          <cell r="C1206" t="str">
            <v>Fire Levelling S/Cable</v>
          </cell>
          <cell r="V1206" t="str">
            <v xml:space="preserve">消防平层开关电缆 </v>
          </cell>
        </row>
        <row r="1207">
          <cell r="B1207" t="str">
            <v>消防平层开关电缆</v>
          </cell>
          <cell r="C1207" t="str">
            <v>Fire Levelling S/Cable</v>
          </cell>
          <cell r="V1207" t="str">
            <v xml:space="preserve">消防平层开关电缆 </v>
          </cell>
        </row>
        <row r="1208">
          <cell r="B1208" t="str">
            <v>轿厢缓冲器开关电缆</v>
          </cell>
          <cell r="C1208" t="str">
            <v>Car Buffer S/Cable</v>
          </cell>
          <cell r="V1208" t="str">
            <v xml:space="preserve">轿厢缓冲器开关电缆 </v>
          </cell>
        </row>
        <row r="1209">
          <cell r="B1209" t="str">
            <v>轿厢缓冲器开关电缆</v>
          </cell>
          <cell r="C1209" t="str">
            <v>Car Buffer S/Cable</v>
          </cell>
          <cell r="V1209" t="str">
            <v xml:space="preserve">轿厢缓冲器开关电缆 </v>
          </cell>
        </row>
        <row r="1210">
          <cell r="B1210" t="str">
            <v>对重缓冲器开关电缆</v>
          </cell>
          <cell r="C1210" t="str">
            <v>CWT Buffer S/Cable</v>
          </cell>
          <cell r="V1210" t="str">
            <v xml:space="preserve">对重缓冲器开关电缆 </v>
          </cell>
        </row>
        <row r="1211">
          <cell r="B1211" t="str">
            <v>对重缓冲器开关电缆</v>
          </cell>
          <cell r="C1211" t="str">
            <v>CWT Buffer S/Cable</v>
          </cell>
          <cell r="V1211" t="str">
            <v xml:space="preserve">对重缓冲器开关电缆 </v>
          </cell>
        </row>
        <row r="1212">
          <cell r="B1212" t="str">
            <v>张紧轮开关电缆</v>
          </cell>
          <cell r="C1212" t="str">
            <v>Tension Pulley S/Cable</v>
          </cell>
          <cell r="V1212" t="str">
            <v>张紧轮开关电缆 Position</v>
          </cell>
        </row>
        <row r="1213">
          <cell r="B1213" t="str">
            <v>张紧轮开关电缆</v>
          </cell>
          <cell r="C1213" t="str">
            <v>Tension Pulley S/Cable</v>
          </cell>
          <cell r="V1213" t="str">
            <v>张紧轮开关电缆 CWT</v>
          </cell>
        </row>
        <row r="1214">
          <cell r="B1214" t="str">
            <v>主电源电缆</v>
          </cell>
          <cell r="C1214" t="str">
            <v>Main Power Cable</v>
          </cell>
          <cell r="V1214" t="str">
            <v xml:space="preserve">主电源电缆 </v>
          </cell>
        </row>
        <row r="1215">
          <cell r="B1215" t="str">
            <v>主电源电缆</v>
          </cell>
          <cell r="C1215" t="str">
            <v>Main Power Cable</v>
          </cell>
          <cell r="V1215" t="str">
            <v xml:space="preserve">主电源电缆 </v>
          </cell>
        </row>
        <row r="1216">
          <cell r="B1216" t="str">
            <v>主机安装工具</v>
          </cell>
          <cell r="C1216" t="str">
            <v>T/M Installation Tool</v>
          </cell>
          <cell r="V1216" t="str">
            <v xml:space="preserve">主机安装工具 </v>
          </cell>
        </row>
        <row r="1217">
          <cell r="B1217" t="str">
            <v>主机安装工具</v>
          </cell>
          <cell r="C1217" t="str">
            <v>T/M Installation Tool</v>
          </cell>
          <cell r="V1217" t="str">
            <v xml:space="preserve">主机安装工具 </v>
          </cell>
        </row>
        <row r="1218">
          <cell r="B1218" t="str">
            <v>吊挂梁</v>
          </cell>
          <cell r="C1218" t="str">
            <v>Hoisting Beam</v>
          </cell>
          <cell r="V1218" t="str">
            <v xml:space="preserve">吊挂梁 </v>
          </cell>
        </row>
        <row r="1219">
          <cell r="B1219" t="str">
            <v>吊挂梁</v>
          </cell>
          <cell r="C1219" t="str">
            <v>Hoisting Beam</v>
          </cell>
          <cell r="V1219" t="str">
            <v xml:space="preserve">吊挂梁 </v>
          </cell>
        </row>
        <row r="1220">
          <cell r="B1220" t="str">
            <v>电缆标签</v>
          </cell>
          <cell r="C1220" t="str">
            <v>Cable Label</v>
          </cell>
          <cell r="V1220" t="str">
            <v xml:space="preserve">电缆标签 </v>
          </cell>
        </row>
        <row r="1221">
          <cell r="B1221" t="str">
            <v>电缆标签</v>
          </cell>
          <cell r="C1221" t="str">
            <v>Cable Label</v>
          </cell>
          <cell r="V1221" t="str">
            <v xml:space="preserve">电缆标签 </v>
          </cell>
        </row>
        <row r="1222">
          <cell r="B1222" t="str">
            <v>照明电源电缆</v>
          </cell>
          <cell r="C1222" t="str">
            <v>Lighting P/Cable</v>
          </cell>
          <cell r="V1222" t="str">
            <v xml:space="preserve">照明电源电缆 </v>
          </cell>
        </row>
        <row r="1223">
          <cell r="B1223" t="str">
            <v>照明电源电缆</v>
          </cell>
          <cell r="C1223" t="str">
            <v>Lighting P/Cable</v>
          </cell>
          <cell r="V1223" t="str">
            <v xml:space="preserve">照明电源电缆 </v>
          </cell>
        </row>
        <row r="1224">
          <cell r="B1224" t="str">
            <v>动力电缆</v>
          </cell>
          <cell r="C1224" t="str">
            <v>Motive Power Cable</v>
          </cell>
          <cell r="V1224" t="str">
            <v xml:space="preserve">动力电缆 </v>
          </cell>
        </row>
        <row r="1225">
          <cell r="B1225" t="str">
            <v>动力电缆</v>
          </cell>
          <cell r="C1225" t="str">
            <v>Motive Power Cable</v>
          </cell>
          <cell r="V1225" t="str">
            <v xml:space="preserve">动力电缆 </v>
          </cell>
        </row>
        <row r="1226">
          <cell r="B1226" t="str">
            <v>制动器线圈电缆</v>
          </cell>
          <cell r="C1226" t="str">
            <v>Brake Coil  Cable</v>
          </cell>
          <cell r="V1226" t="str">
            <v xml:space="preserve">制动器线圈电缆 </v>
          </cell>
        </row>
        <row r="1227">
          <cell r="B1227" t="str">
            <v>制动器线圈电缆</v>
          </cell>
          <cell r="C1227" t="str">
            <v>Brake Coil  Cable</v>
          </cell>
          <cell r="V1227" t="str">
            <v xml:space="preserve">制动器线圈电缆 </v>
          </cell>
        </row>
        <row r="1228">
          <cell r="B1228" t="str">
            <v>制动器检测开关电缆</v>
          </cell>
          <cell r="C1228" t="str">
            <v>Brake Detection S/Cable</v>
          </cell>
          <cell r="V1228" t="str">
            <v xml:space="preserve">制动器检测开关电缆 </v>
          </cell>
        </row>
        <row r="1229">
          <cell r="B1229" t="str">
            <v>制动器检测开关电缆</v>
          </cell>
          <cell r="C1229" t="str">
            <v>Brake Detection S/Cable</v>
          </cell>
          <cell r="V1229" t="str">
            <v xml:space="preserve">制动器检测开关电缆 </v>
          </cell>
        </row>
        <row r="1230">
          <cell r="B1230" t="str">
            <v>热敏电阻电缆</v>
          </cell>
          <cell r="C1230" t="str">
            <v>Thermistor Cable</v>
          </cell>
          <cell r="V1230" t="str">
            <v xml:space="preserve">热敏电阻电缆 </v>
          </cell>
        </row>
        <row r="1231">
          <cell r="B1231" t="str">
            <v>热敏电阻电缆</v>
          </cell>
          <cell r="C1231" t="str">
            <v>Thermistor Cable</v>
          </cell>
          <cell r="V1231" t="str">
            <v xml:space="preserve">热敏电阻电缆 </v>
          </cell>
        </row>
        <row r="1232">
          <cell r="B1232" t="str">
            <v>对重限速器开关电缆</v>
          </cell>
          <cell r="C1232" t="str">
            <v>CWT Governor S/Cable</v>
          </cell>
          <cell r="V1232" t="str">
            <v xml:space="preserve">对重限速器开关电缆 </v>
          </cell>
        </row>
        <row r="1233">
          <cell r="B1233" t="str">
            <v>对重限速器开关电缆</v>
          </cell>
          <cell r="C1233" t="str">
            <v>CWT Governor S/Cable</v>
          </cell>
          <cell r="V1233" t="str">
            <v xml:space="preserve">对重限速器开关电缆 </v>
          </cell>
        </row>
        <row r="1234">
          <cell r="B1234" t="str">
            <v>轿厢限速器开关电缆</v>
          </cell>
          <cell r="C1234" t="str">
            <v>Car Governor S/Cable</v>
          </cell>
          <cell r="V1234" t="str">
            <v xml:space="preserve">轿厢限速器开关电缆 </v>
          </cell>
        </row>
        <row r="1235">
          <cell r="B1235" t="str">
            <v>轿厢限速器开关电缆</v>
          </cell>
          <cell r="C1235" t="str">
            <v>Car Governor S/Cable</v>
          </cell>
          <cell r="V1235" t="str">
            <v xml:space="preserve">轿厢限速器开关电缆 </v>
          </cell>
        </row>
        <row r="1236">
          <cell r="B1236" t="str">
            <v>门电机电源电缆</v>
          </cell>
          <cell r="C1236" t="str">
            <v>Door Machine P/Cable</v>
          </cell>
          <cell r="V1236" t="str">
            <v>门电机电源电缆 Door Type-Position</v>
          </cell>
        </row>
        <row r="1237">
          <cell r="B1237" t="str">
            <v>门电机电源电缆</v>
          </cell>
          <cell r="C1237" t="str">
            <v>Door Machine P/Cable</v>
          </cell>
          <cell r="V1237" t="str">
            <v>门电机电源电缆 K200 Front</v>
          </cell>
        </row>
        <row r="1238">
          <cell r="B1238" t="str">
            <v>门电机控制电缆</v>
          </cell>
          <cell r="C1238" t="str">
            <v>Door Machine Control Cable</v>
          </cell>
          <cell r="V1238" t="str">
            <v>门电机控制电缆 Door Type-Position</v>
          </cell>
        </row>
        <row r="1239">
          <cell r="B1239" t="str">
            <v>门电机控制电缆</v>
          </cell>
          <cell r="C1239" t="str">
            <v>Door Machine Control Cable</v>
          </cell>
          <cell r="V1239" t="str">
            <v>门电机控制电缆 K200 Back</v>
          </cell>
        </row>
        <row r="1240">
          <cell r="B1240" t="str">
            <v>称重装置电源电缆</v>
          </cell>
          <cell r="C1240" t="str">
            <v>Weighing Device P/Cable</v>
          </cell>
          <cell r="V1240" t="str">
            <v xml:space="preserve">称重装置电源电缆 </v>
          </cell>
        </row>
        <row r="1241">
          <cell r="B1241" t="str">
            <v>称重装置电源电缆</v>
          </cell>
          <cell r="C1241" t="str">
            <v>Weighing Device P/Cable</v>
          </cell>
          <cell r="V1241" t="str">
            <v xml:space="preserve">称重装置电源电缆 </v>
          </cell>
        </row>
        <row r="1242">
          <cell r="B1242" t="str">
            <v>称重装置通讯电缆</v>
          </cell>
          <cell r="C1242" t="str">
            <v>Weighing Device C/Cable</v>
          </cell>
          <cell r="V1242" t="str">
            <v xml:space="preserve">称重装置通讯电缆 </v>
          </cell>
        </row>
        <row r="1243">
          <cell r="B1243" t="str">
            <v>称重装置通讯电缆</v>
          </cell>
          <cell r="C1243" t="str">
            <v>Weighing Device C/Cable</v>
          </cell>
          <cell r="V1243" t="str">
            <v xml:space="preserve">称重装置通讯电缆 </v>
          </cell>
        </row>
        <row r="1244">
          <cell r="B1244" t="str">
            <v>上限位开关电缆</v>
          </cell>
          <cell r="C1244" t="str">
            <v>Up Limit S/Cable</v>
          </cell>
          <cell r="V1244" t="str">
            <v xml:space="preserve">上限位开关电缆 </v>
          </cell>
        </row>
        <row r="1245">
          <cell r="B1245" t="str">
            <v>上限位开关电缆</v>
          </cell>
          <cell r="C1245" t="str">
            <v>Up Limit S/Cable</v>
          </cell>
          <cell r="V1245" t="str">
            <v xml:space="preserve">上限位开关电缆 </v>
          </cell>
        </row>
        <row r="1246">
          <cell r="B1246" t="str">
            <v>下限位开关电缆</v>
          </cell>
          <cell r="C1246" t="str">
            <v>Bottom Limit S/Cable</v>
          </cell>
          <cell r="V1246" t="str">
            <v xml:space="preserve">下限位开关电缆 </v>
          </cell>
        </row>
        <row r="1247">
          <cell r="B1247" t="str">
            <v>下限位开关电缆</v>
          </cell>
          <cell r="C1247" t="str">
            <v>Bottom Limit S/Cable</v>
          </cell>
          <cell r="V1247" t="str">
            <v xml:space="preserve">下限位开关电缆 </v>
          </cell>
        </row>
        <row r="1248">
          <cell r="B1248" t="str">
            <v>风扇电源电缆</v>
          </cell>
          <cell r="C1248" t="str">
            <v>Fan P/Cable</v>
          </cell>
          <cell r="V1248" t="str">
            <v xml:space="preserve">风扇电源电缆 </v>
          </cell>
        </row>
        <row r="1249">
          <cell r="B1249" t="str">
            <v>风扇电源电缆</v>
          </cell>
          <cell r="C1249" t="str">
            <v>Fan P/Cable</v>
          </cell>
          <cell r="V1249" t="str">
            <v xml:space="preserve">风扇电源电缆 </v>
          </cell>
        </row>
        <row r="1250">
          <cell r="B1250" t="str">
            <v>轿厢照明电源电缆</v>
          </cell>
          <cell r="C1250" t="str">
            <v>Car Lighting P/Cable</v>
          </cell>
          <cell r="V1250" t="str">
            <v xml:space="preserve">轿厢照明电源电缆 </v>
          </cell>
        </row>
        <row r="1251">
          <cell r="B1251" t="str">
            <v>轿厢照明电源电缆</v>
          </cell>
          <cell r="C1251" t="str">
            <v>Car Lighting P/Cable</v>
          </cell>
          <cell r="V1251" t="str">
            <v xml:space="preserve">轿厢照明电源电缆 </v>
          </cell>
        </row>
        <row r="1252">
          <cell r="B1252" t="str">
            <v>安全窗开关电缆</v>
          </cell>
          <cell r="C1252" t="str">
            <v>Trap Door S/Cable</v>
          </cell>
          <cell r="V1252" t="str">
            <v xml:space="preserve">安全窗开关电缆 </v>
          </cell>
        </row>
        <row r="1253">
          <cell r="B1253" t="str">
            <v>安全窗开关电缆</v>
          </cell>
          <cell r="C1253" t="str">
            <v>Trap Door S/Cable</v>
          </cell>
          <cell r="V1253" t="str">
            <v xml:space="preserve">安全窗开关电缆 </v>
          </cell>
        </row>
        <row r="1254">
          <cell r="B1254" t="str">
            <v>轿门锁电缆</v>
          </cell>
          <cell r="C1254" t="str">
            <v>C/Door Lock Cable</v>
          </cell>
          <cell r="V1254" t="str">
            <v>轿门锁电缆 Position</v>
          </cell>
        </row>
        <row r="1255">
          <cell r="B1255" t="str">
            <v>轿门锁电缆</v>
          </cell>
          <cell r="C1255" t="str">
            <v>C/Door Lock Cable</v>
          </cell>
          <cell r="V1255" t="str">
            <v>轿门锁电缆 Front</v>
          </cell>
        </row>
        <row r="1256">
          <cell r="B1256" t="str">
            <v>下行安全钳开关电缆</v>
          </cell>
          <cell r="C1256" t="str">
            <v>Down Safety Gear S/Cable</v>
          </cell>
          <cell r="V1256" t="str">
            <v xml:space="preserve">下行安全钳开关电缆 </v>
          </cell>
        </row>
        <row r="1257">
          <cell r="B1257" t="str">
            <v>下行安全钳开关电缆</v>
          </cell>
          <cell r="C1257" t="str">
            <v>Down Safety Gear S/Cable</v>
          </cell>
          <cell r="V1257" t="str">
            <v xml:space="preserve">下行安全钳开关电缆 </v>
          </cell>
        </row>
        <row r="1258">
          <cell r="B1258" t="str">
            <v>上行安全钳开关电缆</v>
          </cell>
          <cell r="C1258" t="str">
            <v>Up Safety Gear S/Cable</v>
          </cell>
          <cell r="V1258" t="str">
            <v xml:space="preserve">上行安全钳开关电缆 </v>
          </cell>
        </row>
        <row r="1259">
          <cell r="B1259" t="str">
            <v>上行安全钳开关电缆</v>
          </cell>
          <cell r="C1259" t="str">
            <v>Up Safety Gear S/Cable</v>
          </cell>
          <cell r="V1259" t="str">
            <v xml:space="preserve">上行安全钳开关电缆 </v>
          </cell>
        </row>
        <row r="1260">
          <cell r="B1260" t="str">
            <v>应急通讯电缆</v>
          </cell>
          <cell r="C1260" t="str">
            <v>Emergency Communication Cable</v>
          </cell>
          <cell r="V1260" t="str">
            <v xml:space="preserve">应急通讯电缆 </v>
          </cell>
        </row>
        <row r="1261">
          <cell r="B1261" t="str">
            <v>应急通讯电缆</v>
          </cell>
          <cell r="C1261" t="str">
            <v>Emergency Communication Cable</v>
          </cell>
          <cell r="V1261" t="str">
            <v xml:space="preserve">应急通讯电缆 </v>
          </cell>
        </row>
        <row r="1262">
          <cell r="B1262" t="str">
            <v>应急通讯电源电缆</v>
          </cell>
          <cell r="C1262" t="str">
            <v>Emergency Communication P/Cable</v>
          </cell>
          <cell r="V1262" t="str">
            <v xml:space="preserve">应急通讯电源电缆 </v>
          </cell>
        </row>
        <row r="1263">
          <cell r="B1263" t="str">
            <v>应急通讯电源电缆</v>
          </cell>
          <cell r="C1263" t="str">
            <v>Emergency Communication P/Cable</v>
          </cell>
          <cell r="V1263" t="str">
            <v xml:space="preserve">应急通讯电源电缆 </v>
          </cell>
        </row>
        <row r="1264">
          <cell r="B1264" t="str">
            <v>轿顶-主COP电源及控制电缆</v>
          </cell>
          <cell r="C1264" t="str">
            <v>Car Roof-Main COP P&amp;C Cable</v>
          </cell>
          <cell r="V1264" t="str">
            <v xml:space="preserve">轿顶-主COP电源及控制电缆 </v>
          </cell>
        </row>
        <row r="1265">
          <cell r="B1265" t="str">
            <v>轿顶-主COP电源及控制电缆</v>
          </cell>
          <cell r="C1265" t="str">
            <v>Car Roof-Main COP P&amp;C Cable</v>
          </cell>
          <cell r="V1265" t="str">
            <v xml:space="preserve">轿顶-主COP电源及控制电缆 </v>
          </cell>
        </row>
        <row r="1266">
          <cell r="B1266" t="str">
            <v>轿顶-副COP电源及控制电缆</v>
          </cell>
          <cell r="C1266" t="str">
            <v>Car Roof-Auxiliary COP P&amp;C Cable</v>
          </cell>
          <cell r="V1266" t="str">
            <v xml:space="preserve">轿顶-副COP电源及控制电缆 </v>
          </cell>
        </row>
        <row r="1267">
          <cell r="B1267" t="str">
            <v>轿顶-副COP电源及控制电缆</v>
          </cell>
          <cell r="C1267" t="str">
            <v>Car Roof-Auxiliary COP P&amp;C Cable</v>
          </cell>
          <cell r="V1267" t="str">
            <v xml:space="preserve">轿顶-副COP电源及控制电缆 </v>
          </cell>
        </row>
        <row r="1268">
          <cell r="B1268" t="str">
            <v>轿顶-主COP通讯电缆</v>
          </cell>
          <cell r="C1268" t="str">
            <v>Car Roof-Main COP C/Cable</v>
          </cell>
          <cell r="V1268" t="str">
            <v xml:space="preserve">轿顶-主COP通讯电缆 </v>
          </cell>
        </row>
        <row r="1269">
          <cell r="B1269" t="str">
            <v>轿顶-主COP通讯电缆</v>
          </cell>
          <cell r="C1269" t="str">
            <v>Car Roof-Main COP C/Cable</v>
          </cell>
          <cell r="V1269" t="str">
            <v xml:space="preserve">轿顶-主COP通讯电缆 </v>
          </cell>
        </row>
        <row r="1270">
          <cell r="B1270" t="str">
            <v>轿顶-副COP通讯电缆</v>
          </cell>
          <cell r="C1270" t="str">
            <v>Car Roof-Auxiliary COP C/Cable</v>
          </cell>
          <cell r="V1270" t="str">
            <v xml:space="preserve">轿顶-副COP通讯电缆 </v>
          </cell>
        </row>
        <row r="1271">
          <cell r="B1271" t="str">
            <v>轿顶-副COP通讯电缆</v>
          </cell>
          <cell r="C1271" t="str">
            <v>Car Roof-Auxiliary COP C/Cable</v>
          </cell>
          <cell r="V1271" t="str">
            <v xml:space="preserve">轿顶-副COP通讯电缆 </v>
          </cell>
        </row>
        <row r="1272">
          <cell r="B1272" t="str">
            <v>称重装置-COP通讯电缆</v>
          </cell>
          <cell r="C1272" t="str">
            <v>Weighing Device-COP C/Cable</v>
          </cell>
          <cell r="V1272" t="str">
            <v xml:space="preserve">称重装置-COP通讯电缆 </v>
          </cell>
        </row>
        <row r="1273">
          <cell r="B1273" t="str">
            <v>称重装置-COP通讯电缆</v>
          </cell>
          <cell r="C1273" t="str">
            <v>Weighing Device-COP C/Cable</v>
          </cell>
          <cell r="V1273" t="str">
            <v xml:space="preserve">称重装置-COP通讯电缆 </v>
          </cell>
        </row>
        <row r="1274">
          <cell r="B1274" t="str">
            <v>COP内部通讯电缆</v>
          </cell>
          <cell r="C1274" t="str">
            <v>COP Inner C/Cable</v>
          </cell>
          <cell r="V1274" t="str">
            <v xml:space="preserve">COP内部通讯电缆 </v>
          </cell>
        </row>
        <row r="1275">
          <cell r="B1275" t="str">
            <v>COP内部通讯电缆</v>
          </cell>
          <cell r="C1275" t="str">
            <v>COP Inner C/Cable</v>
          </cell>
          <cell r="V1275" t="str">
            <v xml:space="preserve">COP内部通讯电缆 </v>
          </cell>
        </row>
        <row r="1276">
          <cell r="B1276" t="str">
            <v>应急通讯控制电缆</v>
          </cell>
          <cell r="C1276" t="str">
            <v>Emergency Communication Control Cable</v>
          </cell>
          <cell r="V1276" t="str">
            <v>应急通讯控制电缆 Button Type</v>
          </cell>
        </row>
        <row r="1277">
          <cell r="B1277" t="str">
            <v>应急通讯控制电缆</v>
          </cell>
          <cell r="C1277" t="str">
            <v>Emergency Communication Control Cable</v>
          </cell>
          <cell r="V1277" t="str">
            <v>应急通讯控制电缆 AN170</v>
          </cell>
        </row>
        <row r="1278">
          <cell r="B1278" t="str">
            <v>MF3-MF4电源电缆</v>
          </cell>
          <cell r="C1278" t="str">
            <v>MF3-MF4 P/Cable</v>
          </cell>
          <cell r="V1278" t="str">
            <v xml:space="preserve">MF3-MF4电源电缆 </v>
          </cell>
        </row>
        <row r="1279">
          <cell r="B1279" t="str">
            <v>MF3-MF4电源电缆</v>
          </cell>
          <cell r="C1279" t="str">
            <v>MF3-MF4 P/Cable</v>
          </cell>
          <cell r="V1279" t="str">
            <v xml:space="preserve">MF3-MF4电源电缆 </v>
          </cell>
        </row>
        <row r="1280">
          <cell r="B1280" t="str">
            <v>MF4-MF4电源电缆</v>
          </cell>
          <cell r="C1280" t="str">
            <v>MF4-MF4 P/Cable</v>
          </cell>
          <cell r="V1280" t="str">
            <v xml:space="preserve">MF4-MF4电源电缆 </v>
          </cell>
        </row>
        <row r="1281">
          <cell r="B1281" t="str">
            <v>MF4-MF4电源电缆</v>
          </cell>
          <cell r="C1281" t="str">
            <v>MF4-MF4 P/Cable</v>
          </cell>
          <cell r="V1281" t="str">
            <v xml:space="preserve">MF4-MF4电源电缆 </v>
          </cell>
        </row>
        <row r="1282">
          <cell r="B1282" t="str">
            <v>开门按钮电缆</v>
          </cell>
          <cell r="C1282" t="str">
            <v>Door Opening Button Cable</v>
          </cell>
          <cell r="V1282" t="str">
            <v>开门按钮电缆  Button Type</v>
          </cell>
        </row>
        <row r="1283">
          <cell r="B1283" t="str">
            <v>开门按钮电缆</v>
          </cell>
          <cell r="C1283" t="str">
            <v>Door Opening Button Cable</v>
          </cell>
          <cell r="V1283" t="str">
            <v>开门按钮电缆 ANB4016</v>
          </cell>
        </row>
        <row r="1284">
          <cell r="B1284" t="str">
            <v>关门按钮电缆</v>
          </cell>
          <cell r="C1284" t="str">
            <v>Door Closing Button Cable</v>
          </cell>
          <cell r="V1284" t="str">
            <v>关门按钮电缆  Button Type</v>
          </cell>
        </row>
        <row r="1285">
          <cell r="B1285" t="str">
            <v>关门按钮电缆</v>
          </cell>
          <cell r="C1285" t="str">
            <v>Door Closing Button Cable</v>
          </cell>
          <cell r="V1285" t="str">
            <v>关门按钮电缆 ANB4016</v>
          </cell>
        </row>
        <row r="1286">
          <cell r="B1286" t="str">
            <v>层选按钮电缆</v>
          </cell>
          <cell r="C1286" t="str">
            <v>Car Call Button Cable</v>
          </cell>
          <cell r="V1286" t="str">
            <v>层选按钮电缆  Button Type</v>
          </cell>
        </row>
        <row r="1287">
          <cell r="B1287" t="str">
            <v>层选按钮电缆</v>
          </cell>
          <cell r="C1287" t="str">
            <v>Car Call Button Cable</v>
          </cell>
          <cell r="V1287" t="str">
            <v>层选按钮电缆 ANB4016</v>
          </cell>
        </row>
        <row r="1288">
          <cell r="B1288" t="str">
            <v>COP到站钟电缆</v>
          </cell>
          <cell r="C1288" t="str">
            <v>COP Gong Cable</v>
          </cell>
          <cell r="V1288" t="str">
            <v xml:space="preserve">COP到站钟电缆 </v>
          </cell>
        </row>
        <row r="1289">
          <cell r="B1289" t="str">
            <v>COP到站钟电缆</v>
          </cell>
          <cell r="C1289" t="str">
            <v>COP Gong Cable</v>
          </cell>
          <cell r="V1289" t="str">
            <v xml:space="preserve">COP到站钟电缆 </v>
          </cell>
        </row>
        <row r="1290">
          <cell r="B1290" t="str">
            <v>对讲按钮电缆</v>
          </cell>
          <cell r="C1290" t="str">
            <v>Intercom Button Cable</v>
          </cell>
          <cell r="V1290" t="str">
            <v>对讲按钮电缆  Button Type</v>
          </cell>
        </row>
        <row r="1291">
          <cell r="B1291" t="str">
            <v>对讲按钮电缆</v>
          </cell>
          <cell r="C1291" t="str">
            <v>Intercom Button Cable</v>
          </cell>
          <cell r="V1291" t="str">
            <v>对讲按钮电缆 ANB4016</v>
          </cell>
        </row>
        <row r="1292">
          <cell r="B1292" t="str">
            <v>VIP钥匙开关电缆</v>
          </cell>
          <cell r="C1292" t="str">
            <v>VIP Key S/Cable</v>
          </cell>
          <cell r="V1292" t="str">
            <v xml:space="preserve">VIP钥匙开关电缆 </v>
          </cell>
        </row>
        <row r="1293">
          <cell r="B1293" t="str">
            <v>VIP钥匙开关电缆</v>
          </cell>
          <cell r="C1293" t="str">
            <v>VIP Key S/Cable</v>
          </cell>
          <cell r="V1293" t="str">
            <v xml:space="preserve">VIP钥匙开关电缆 </v>
          </cell>
        </row>
        <row r="1294">
          <cell r="B1294" t="str">
            <v>司机钥匙开关电缆</v>
          </cell>
          <cell r="C1294" t="str">
            <v>Attendant Key S/Cable</v>
          </cell>
          <cell r="V1294" t="str">
            <v xml:space="preserve">司机钥匙开关电缆 </v>
          </cell>
        </row>
        <row r="1295">
          <cell r="B1295" t="str">
            <v>司机钥匙开关电缆</v>
          </cell>
          <cell r="C1295" t="str">
            <v>Attendant Key S/Cable</v>
          </cell>
          <cell r="V1295" t="str">
            <v xml:space="preserve">司机钥匙开关电缆 </v>
          </cell>
        </row>
        <row r="1296">
          <cell r="B1296" t="str">
            <v>司机按钮电缆</v>
          </cell>
          <cell r="C1296" t="str">
            <v>Attendant Button Cable</v>
          </cell>
          <cell r="V1296" t="str">
            <v>司机按钮电缆  Button Type</v>
          </cell>
        </row>
        <row r="1297">
          <cell r="B1297" t="str">
            <v>司机按钮电缆</v>
          </cell>
          <cell r="C1297" t="str">
            <v>Attendant Button Cable</v>
          </cell>
          <cell r="V1297" t="str">
            <v>司机按钮电缆 ANB4016</v>
          </cell>
        </row>
        <row r="1298">
          <cell r="B1298" t="str">
            <v>COP读卡器电源电缆</v>
          </cell>
          <cell r="C1298" t="str">
            <v>COP Card Reader P/Cable</v>
          </cell>
          <cell r="V1298" t="str">
            <v xml:space="preserve">COP读卡器电源电缆 </v>
          </cell>
        </row>
        <row r="1299">
          <cell r="B1299" t="str">
            <v>COP读卡器电源电缆</v>
          </cell>
          <cell r="C1299" t="str">
            <v>COP Card Reader P/Cable</v>
          </cell>
          <cell r="V1299" t="str">
            <v xml:space="preserve">COP读卡器电源电缆 </v>
          </cell>
        </row>
        <row r="1300">
          <cell r="B1300" t="str">
            <v>VIP读卡器电缆</v>
          </cell>
          <cell r="C1300" t="str">
            <v>VIP Card Reader Cable</v>
          </cell>
          <cell r="V1300" t="str">
            <v xml:space="preserve">VIP读卡器电缆 </v>
          </cell>
        </row>
        <row r="1301">
          <cell r="B1301" t="str">
            <v>VIP读卡器电缆</v>
          </cell>
          <cell r="C1301" t="str">
            <v>VIP Card Reader Cable</v>
          </cell>
          <cell r="V1301" t="str">
            <v xml:space="preserve">VIP读卡器电缆 </v>
          </cell>
        </row>
        <row r="1302">
          <cell r="B1302" t="str">
            <v>司机读卡器电缆</v>
          </cell>
          <cell r="C1302" t="str">
            <v>Attendant Card Reader Cable</v>
          </cell>
          <cell r="V1302" t="str">
            <v xml:space="preserve">司机读卡器电缆 </v>
          </cell>
        </row>
        <row r="1303">
          <cell r="B1303" t="str">
            <v>司机读卡器电缆</v>
          </cell>
          <cell r="C1303" t="str">
            <v>Attendant Card Reader Cable</v>
          </cell>
          <cell r="V1303" t="str">
            <v xml:space="preserve">司机读卡器电缆 </v>
          </cell>
        </row>
        <row r="1304">
          <cell r="B1304" t="str">
            <v>COP显示电缆</v>
          </cell>
          <cell r="C1304" t="str">
            <v>COP Display Cable</v>
          </cell>
          <cell r="V1304" t="str">
            <v xml:space="preserve">COP显示电缆 </v>
          </cell>
        </row>
        <row r="1305">
          <cell r="B1305" t="str">
            <v>COP显示电缆</v>
          </cell>
          <cell r="C1305" t="str">
            <v>COP Display Cable</v>
          </cell>
          <cell r="V1305" t="str">
            <v xml:space="preserve">COP显示电缆 </v>
          </cell>
        </row>
        <row r="1306">
          <cell r="B1306" t="str">
            <v>控制柜门锁</v>
          </cell>
          <cell r="C1306" t="str">
            <v>Controller Door Lock</v>
          </cell>
          <cell r="V1306" t="str">
            <v>控制柜门锁 Type</v>
          </cell>
        </row>
        <row r="1307">
          <cell r="B1307" t="str">
            <v>控制柜门锁</v>
          </cell>
          <cell r="C1307" t="str">
            <v>Controller Door Lock</v>
          </cell>
          <cell r="V1307" t="str">
            <v>控制柜门锁 MS-705</v>
          </cell>
        </row>
        <row r="1308">
          <cell r="B1308" t="str">
            <v>计数器</v>
          </cell>
          <cell r="C1308" t="str">
            <v>Counter</v>
          </cell>
          <cell r="V1308" t="str">
            <v>计数器 Type</v>
          </cell>
        </row>
        <row r="1309">
          <cell r="B1309" t="str">
            <v>计数器</v>
          </cell>
          <cell r="C1309" t="str">
            <v>Counter</v>
          </cell>
          <cell r="V1309" t="str">
            <v>计数器 CP2 2108</v>
          </cell>
        </row>
        <row r="1310">
          <cell r="B1310" t="str">
            <v>记时器</v>
          </cell>
          <cell r="C1310" t="str">
            <v>Chronograph</v>
          </cell>
          <cell r="V1310" t="str">
            <v>记时器 Type</v>
          </cell>
        </row>
        <row r="1311">
          <cell r="B1311" t="str">
            <v>记时器</v>
          </cell>
          <cell r="C1311" t="str">
            <v>Chronograph</v>
          </cell>
          <cell r="V1311" t="str">
            <v xml:space="preserve">记时器 </v>
          </cell>
        </row>
        <row r="1312">
          <cell r="B1312" t="str">
            <v>记时计数器</v>
          </cell>
          <cell r="C1312" t="str">
            <v>Counter Chronograph</v>
          </cell>
          <cell r="V1312" t="str">
            <v>记时计数器 Type</v>
          </cell>
        </row>
        <row r="1313">
          <cell r="B1313" t="str">
            <v>记时计数器</v>
          </cell>
          <cell r="C1313" t="str">
            <v>Counter Chronograph</v>
          </cell>
          <cell r="V1313" t="str">
            <v>记时计数器 HDTC-2</v>
          </cell>
        </row>
        <row r="1314">
          <cell r="B1314" t="str">
            <v>接地铜排组件</v>
          </cell>
          <cell r="C1314" t="str">
            <v>Earthing Block Assy</v>
          </cell>
          <cell r="V1314" t="str">
            <v xml:space="preserve">接地铜排组件 </v>
          </cell>
        </row>
        <row r="1315">
          <cell r="B1315" t="str">
            <v>接地铜排组件</v>
          </cell>
          <cell r="C1315" t="str">
            <v>Earthing Block Assy</v>
          </cell>
          <cell r="V1315" t="str">
            <v xml:space="preserve">接地铜排组件 </v>
          </cell>
        </row>
        <row r="1316">
          <cell r="B1316" t="str">
            <v>接插件支架</v>
          </cell>
          <cell r="C1316" t="str">
            <v>Socket Connector Bracket</v>
          </cell>
          <cell r="V1316" t="str">
            <v xml:space="preserve">接插件支架 </v>
          </cell>
        </row>
        <row r="1317">
          <cell r="B1317" t="str">
            <v>接插件支架</v>
          </cell>
          <cell r="C1317" t="str">
            <v>Socket Connector Bracket</v>
          </cell>
          <cell r="V1317" t="str">
            <v xml:space="preserve">接插件支架 </v>
          </cell>
        </row>
        <row r="1318">
          <cell r="B1318" t="str">
            <v>电缆固定夹</v>
          </cell>
          <cell r="C1318" t="str">
            <v>Cable Fixing Clip</v>
          </cell>
          <cell r="V1318" t="str">
            <v xml:space="preserve">电缆固定夹 </v>
          </cell>
        </row>
        <row r="1319">
          <cell r="B1319" t="str">
            <v>电缆固定夹</v>
          </cell>
          <cell r="C1319" t="str">
            <v>Cable Fixing Clip</v>
          </cell>
          <cell r="V1319" t="str">
            <v xml:space="preserve">电缆固定夹 </v>
          </cell>
        </row>
        <row r="1320">
          <cell r="B1320" t="str">
            <v>继电器底座</v>
          </cell>
          <cell r="C1320" t="str">
            <v>Relay Base</v>
          </cell>
          <cell r="V1320" t="str">
            <v>继电器底座 Type</v>
          </cell>
        </row>
        <row r="1321">
          <cell r="B1321" t="str">
            <v>继电器底座</v>
          </cell>
          <cell r="C1321" t="str">
            <v>Relay Base</v>
          </cell>
          <cell r="V1321" t="str">
            <v>继电器底座 SCM4COECO</v>
          </cell>
        </row>
        <row r="1322">
          <cell r="B1322" t="str">
            <v>主板支架</v>
          </cell>
          <cell r="C1322" t="str">
            <v>Mainboard Bracket</v>
          </cell>
          <cell r="V1322" t="str">
            <v xml:space="preserve">主板支架 </v>
          </cell>
        </row>
        <row r="1323">
          <cell r="B1323" t="str">
            <v>主板支架</v>
          </cell>
          <cell r="C1323" t="str">
            <v>Mainboard Bracket</v>
          </cell>
          <cell r="V1323" t="str">
            <v xml:space="preserve">主板支架 </v>
          </cell>
        </row>
        <row r="1324">
          <cell r="B1324" t="str">
            <v>绝缘垫板</v>
          </cell>
          <cell r="C1324" t="str">
            <v>Insulation Liner Plate</v>
          </cell>
          <cell r="V1324" t="str">
            <v>绝缘垫板 Material</v>
          </cell>
        </row>
        <row r="1325">
          <cell r="B1325" t="str">
            <v>绝缘垫板</v>
          </cell>
          <cell r="C1325" t="str">
            <v>Insulation Liner Plate</v>
          </cell>
          <cell r="V1325" t="str">
            <v xml:space="preserve">绝缘垫板 </v>
          </cell>
        </row>
        <row r="1326">
          <cell r="B1326" t="str">
            <v>开关电源支架</v>
          </cell>
          <cell r="C1326" t="str">
            <v>SMPS Bracket</v>
          </cell>
          <cell r="V1326" t="str">
            <v xml:space="preserve">开关电源支架 </v>
          </cell>
        </row>
        <row r="1327">
          <cell r="B1327" t="str">
            <v>开关电源支架</v>
          </cell>
          <cell r="C1327" t="str">
            <v>SMPS Bracket</v>
          </cell>
          <cell r="V1327" t="str">
            <v xml:space="preserve">开关电源支架 </v>
          </cell>
        </row>
        <row r="1328">
          <cell r="B1328" t="str">
            <v>抱闸控制器</v>
          </cell>
          <cell r="C1328" t="str">
            <v>Braking Controller</v>
          </cell>
          <cell r="V1328" t="str">
            <v>抱闸控制器 Type</v>
          </cell>
        </row>
        <row r="1329">
          <cell r="B1329" t="str">
            <v>抱闸控制器</v>
          </cell>
          <cell r="C1329" t="str">
            <v>Braking Controller</v>
          </cell>
          <cell r="V1329" t="str">
            <v>抱闸控制器 EMBP-220</v>
          </cell>
        </row>
        <row r="1330">
          <cell r="B1330" t="str">
            <v>操纵箱面板</v>
          </cell>
          <cell r="C1330" t="str">
            <v>COP Faceplate</v>
          </cell>
          <cell r="V1330" t="str">
            <v>操纵箱面板 Thickness-Material</v>
          </cell>
        </row>
        <row r="1331">
          <cell r="B1331" t="str">
            <v>操纵箱面板</v>
          </cell>
          <cell r="C1331" t="str">
            <v>COP Faceplate</v>
          </cell>
          <cell r="V1331" t="str">
            <v>操纵箱面板 0.8 SUS304/MI</v>
          </cell>
        </row>
        <row r="1332">
          <cell r="B1332" t="str">
            <v>钢膨胀螺母</v>
          </cell>
          <cell r="C1332" t="str">
            <v>Steel Anchor Nut</v>
          </cell>
          <cell r="V1332" t="str">
            <v>钢膨胀螺母 Manufacturer-Type-Spec.</v>
          </cell>
        </row>
        <row r="1333">
          <cell r="B1333" t="str">
            <v>钢膨胀螺母</v>
          </cell>
          <cell r="C1333" t="str">
            <v>Steel Anchor Nut</v>
          </cell>
          <cell r="V1333" t="str">
            <v>钢膨胀螺母   M12</v>
          </cell>
        </row>
        <row r="1334">
          <cell r="B1334" t="str">
            <v>钥匙开关</v>
          </cell>
          <cell r="C1334" t="str">
            <v>Key Switch</v>
          </cell>
          <cell r="V1334" t="str">
            <v>钥匙开关 Type</v>
          </cell>
        </row>
        <row r="1335">
          <cell r="B1335" t="str">
            <v>钥匙开关</v>
          </cell>
          <cell r="C1335" t="str">
            <v>Key Switch</v>
          </cell>
          <cell r="V1335" t="str">
            <v>钥匙开关 DX210B117</v>
          </cell>
        </row>
        <row r="1336">
          <cell r="B1336" t="str">
            <v>控制柜门板</v>
          </cell>
          <cell r="C1336" t="str">
            <v>Controller Door Panel</v>
          </cell>
          <cell r="V1336" t="str">
            <v xml:space="preserve">控制柜门板 </v>
          </cell>
        </row>
        <row r="1337">
          <cell r="B1337" t="str">
            <v>控制柜门板</v>
          </cell>
          <cell r="C1337" t="str">
            <v>Controller Door Panel</v>
          </cell>
          <cell r="V1337" t="str">
            <v xml:space="preserve">控制柜门板 </v>
          </cell>
        </row>
        <row r="1338">
          <cell r="B1338" t="str">
            <v>控制柜安装附件</v>
          </cell>
          <cell r="C1338" t="str">
            <v>Controller Fix Accessories</v>
          </cell>
          <cell r="V1338" t="str">
            <v xml:space="preserve">控制柜安装附件 </v>
          </cell>
        </row>
        <row r="1339">
          <cell r="B1339" t="str">
            <v>控制柜安装附件</v>
          </cell>
          <cell r="C1339" t="str">
            <v>Controller Fix Accessories</v>
          </cell>
          <cell r="V1339" t="str">
            <v xml:space="preserve">控制柜安装附件 </v>
          </cell>
        </row>
        <row r="1340">
          <cell r="B1340" t="str">
            <v>控制柜框架</v>
          </cell>
          <cell r="C1340" t="str">
            <v>Controller Frame</v>
          </cell>
          <cell r="V1340" t="str">
            <v xml:space="preserve">控制柜框架 </v>
          </cell>
        </row>
        <row r="1341">
          <cell r="B1341" t="str">
            <v>控制柜框架</v>
          </cell>
          <cell r="C1341" t="str">
            <v>Controller Frame</v>
          </cell>
          <cell r="V1341" t="str">
            <v xml:space="preserve">控制柜框架 </v>
          </cell>
        </row>
        <row r="1342">
          <cell r="B1342" t="str">
            <v>左限位板</v>
          </cell>
          <cell r="C1342" t="str">
            <v>Left Spacing Plate</v>
          </cell>
          <cell r="V1342" t="str">
            <v xml:space="preserve">左限位板 </v>
          </cell>
        </row>
        <row r="1343">
          <cell r="B1343" t="str">
            <v>左限位板</v>
          </cell>
          <cell r="C1343" t="str">
            <v>Left Spacing Plate</v>
          </cell>
          <cell r="V1343" t="str">
            <v xml:space="preserve">左限位板 </v>
          </cell>
        </row>
        <row r="1344">
          <cell r="B1344" t="str">
            <v>右限位板</v>
          </cell>
          <cell r="C1344" t="str">
            <v>Right Spacing Plate</v>
          </cell>
          <cell r="V1344" t="str">
            <v xml:space="preserve">右限位板 </v>
          </cell>
        </row>
        <row r="1345">
          <cell r="B1345" t="str">
            <v>右限位板</v>
          </cell>
          <cell r="C1345" t="str">
            <v>Right Spacing Plate</v>
          </cell>
          <cell r="V1345" t="str">
            <v xml:space="preserve">右限位板 </v>
          </cell>
        </row>
        <row r="1346">
          <cell r="B1346" t="str">
            <v>上限位板</v>
          </cell>
          <cell r="C1346" t="str">
            <v>Top Spacing Plate</v>
          </cell>
          <cell r="V1346" t="str">
            <v xml:space="preserve">上限位板 </v>
          </cell>
        </row>
        <row r="1347">
          <cell r="B1347" t="str">
            <v>上限位板</v>
          </cell>
          <cell r="C1347" t="str">
            <v>Top Spacing Plate</v>
          </cell>
          <cell r="V1347" t="str">
            <v xml:space="preserve">上限位板 </v>
          </cell>
        </row>
        <row r="1348">
          <cell r="B1348" t="str">
            <v>门锁支架</v>
          </cell>
          <cell r="C1348" t="str">
            <v>Door Lock Bracket</v>
          </cell>
          <cell r="V1348" t="str">
            <v xml:space="preserve">门锁支架 </v>
          </cell>
        </row>
        <row r="1349">
          <cell r="B1349" t="str">
            <v>门锁支架</v>
          </cell>
          <cell r="C1349" t="str">
            <v>Door Lock Bracket</v>
          </cell>
          <cell r="V1349" t="str">
            <v xml:space="preserve">门锁支架 </v>
          </cell>
        </row>
        <row r="1350">
          <cell r="B1350" t="str">
            <v>控制柜底盒</v>
          </cell>
          <cell r="C1350" t="str">
            <v>Controller Bottom Box</v>
          </cell>
          <cell r="V1350" t="str">
            <v xml:space="preserve">控制柜底盒 </v>
          </cell>
        </row>
        <row r="1351">
          <cell r="B1351" t="str">
            <v>控制柜底盒</v>
          </cell>
          <cell r="C1351" t="str">
            <v>Controller Bottom Box</v>
          </cell>
          <cell r="V1351" t="str">
            <v xml:space="preserve">控制柜底盒 </v>
          </cell>
        </row>
        <row r="1352">
          <cell r="B1352" t="str">
            <v>松闸装置</v>
          </cell>
          <cell r="C1352" t="str">
            <v>Release Brake Device</v>
          </cell>
          <cell r="V1352" t="str">
            <v>松闸装置 Type</v>
          </cell>
        </row>
        <row r="1353">
          <cell r="B1353" t="str">
            <v>松闸装置</v>
          </cell>
          <cell r="C1353" t="str">
            <v>Release Brake Device</v>
          </cell>
          <cell r="V1353" t="str">
            <v>松闸装置 WS420-EPB</v>
          </cell>
        </row>
        <row r="1354">
          <cell r="B1354" t="str">
            <v>衬板</v>
          </cell>
          <cell r="C1354" t="str">
            <v>Veneer</v>
          </cell>
          <cell r="V1354" t="str">
            <v>衬板 Material</v>
          </cell>
        </row>
        <row r="1355">
          <cell r="B1355" t="str">
            <v>衬板</v>
          </cell>
          <cell r="C1355" t="str">
            <v>Veneer</v>
          </cell>
          <cell r="V1355" t="str">
            <v>衬板 SP 1.5/Q235A</v>
          </cell>
        </row>
        <row r="1356">
          <cell r="B1356" t="str">
            <v>控制柜门板组件</v>
          </cell>
          <cell r="C1356" t="str">
            <v>Controller Door Panel Assy</v>
          </cell>
          <cell r="V1356" t="str">
            <v xml:space="preserve">控制柜门板组件 </v>
          </cell>
        </row>
        <row r="1357">
          <cell r="B1357" t="str">
            <v>控制柜门板组件</v>
          </cell>
          <cell r="C1357" t="str">
            <v>Controller Door Panel Assy</v>
          </cell>
          <cell r="V1357" t="str">
            <v xml:space="preserve">控制柜门板组件 </v>
          </cell>
        </row>
        <row r="1358">
          <cell r="B1358" t="str">
            <v>乘客救援流程图</v>
          </cell>
          <cell r="C1358" t="str">
            <v>Passenger Rescue Flow Chart</v>
          </cell>
          <cell r="V1358" t="str">
            <v xml:space="preserve">乘客救援流程图 </v>
          </cell>
        </row>
        <row r="1359">
          <cell r="B1359" t="str">
            <v>乘客救援流程图</v>
          </cell>
          <cell r="C1359" t="str">
            <v>Passenger Rescue Flow Chart</v>
          </cell>
          <cell r="V1359" t="str">
            <v xml:space="preserve">乘客救援流程图 </v>
          </cell>
        </row>
        <row r="1360">
          <cell r="B1360" t="str">
            <v>限速器松闸装置</v>
          </cell>
          <cell r="C1360" t="str">
            <v>Governor Release Brake Device</v>
          </cell>
          <cell r="V1360" t="str">
            <v xml:space="preserve">限速器松闸装置 </v>
          </cell>
        </row>
        <row r="1361">
          <cell r="B1361" t="str">
            <v>限速器松闸装置</v>
          </cell>
          <cell r="C1361" t="str">
            <v>Governor Release Brake Device</v>
          </cell>
          <cell r="V1361" t="str">
            <v xml:space="preserve">限速器松闸装置 </v>
          </cell>
        </row>
        <row r="1362">
          <cell r="B1362" t="str">
            <v>变频器柜体底盒</v>
          </cell>
          <cell r="C1362" t="str">
            <v>Inverter Cabinet Bottom Box</v>
          </cell>
          <cell r="V1362" t="str">
            <v xml:space="preserve">变频器柜体底盒 </v>
          </cell>
        </row>
        <row r="1363">
          <cell r="B1363" t="str">
            <v>变频器柜体底盒</v>
          </cell>
          <cell r="C1363" t="str">
            <v>Inverter Cabinet Bottom Box</v>
          </cell>
          <cell r="V1363" t="str">
            <v xml:space="preserve">变频器柜体底盒 </v>
          </cell>
        </row>
        <row r="1364">
          <cell r="B1364" t="str">
            <v>到站钟</v>
          </cell>
          <cell r="C1364" t="str">
            <v>Arrival Gong</v>
          </cell>
          <cell r="V1364" t="str">
            <v>到站钟 Type</v>
          </cell>
        </row>
        <row r="1365">
          <cell r="B1365" t="str">
            <v>到站钟</v>
          </cell>
          <cell r="C1365" t="str">
            <v>Arrival Gong</v>
          </cell>
          <cell r="V1365" t="str">
            <v>到站钟 AY GONG</v>
          </cell>
        </row>
        <row r="1366">
          <cell r="B1366" t="str">
            <v>编码器</v>
          </cell>
          <cell r="C1366" t="str">
            <v>Encoder</v>
          </cell>
          <cell r="V1366" t="str">
            <v>编码器 Type</v>
          </cell>
        </row>
        <row r="1367">
          <cell r="B1367" t="str">
            <v>编码器</v>
          </cell>
          <cell r="C1367" t="str">
            <v>Encoder</v>
          </cell>
          <cell r="V1367" t="str">
            <v>编码器 HTB-50CC10-30C500BM-S8</v>
          </cell>
        </row>
        <row r="1368">
          <cell r="B1368" t="str">
            <v>显示窗</v>
          </cell>
          <cell r="C1368" t="str">
            <v>Display Window</v>
          </cell>
          <cell r="V1368" t="str">
            <v>显示窗 Type</v>
          </cell>
        </row>
        <row r="1369">
          <cell r="B1369" t="str">
            <v>显示窗</v>
          </cell>
          <cell r="C1369" t="str">
            <v>Display Window</v>
          </cell>
          <cell r="V1369" t="str">
            <v>显示窗 GC301C103</v>
          </cell>
        </row>
        <row r="1370">
          <cell r="B1370" t="str">
            <v>称重装置</v>
          </cell>
          <cell r="C1370" t="str">
            <v>Weighing Device</v>
          </cell>
          <cell r="V1370" t="str">
            <v>称重装置 Type</v>
          </cell>
        </row>
        <row r="1371">
          <cell r="B1371" t="str">
            <v>称重装置</v>
          </cell>
          <cell r="C1371" t="str">
            <v>Weighing Device</v>
          </cell>
          <cell r="V1371" t="str">
            <v>称重装置 EK-HDJD</v>
          </cell>
        </row>
        <row r="1372">
          <cell r="B1372" t="str">
            <v>固定条</v>
          </cell>
          <cell r="C1372" t="str">
            <v>Mounting Strip</v>
          </cell>
          <cell r="V1372" t="str">
            <v xml:space="preserve">固定条 </v>
          </cell>
        </row>
        <row r="1373">
          <cell r="B1373" t="str">
            <v>固定条</v>
          </cell>
          <cell r="C1373" t="str">
            <v>Mounting Strip</v>
          </cell>
          <cell r="V1373" t="str">
            <v xml:space="preserve">固定条 </v>
          </cell>
        </row>
        <row r="1374">
          <cell r="B1374" t="str">
            <v>遮光板</v>
          </cell>
          <cell r="C1374" t="str">
            <v>Glare-Shield Plate</v>
          </cell>
          <cell r="V1374" t="str">
            <v>遮光板 Surface Finish</v>
          </cell>
        </row>
        <row r="1375">
          <cell r="B1375" t="str">
            <v>遮光板</v>
          </cell>
          <cell r="C1375" t="str">
            <v>Glare-Shield Plate</v>
          </cell>
          <cell r="V1375" t="str">
            <v>遮光板 SUS304/HL</v>
          </cell>
        </row>
        <row r="1376">
          <cell r="B1376" t="str">
            <v>固定座</v>
          </cell>
          <cell r="C1376" t="str">
            <v>Mounting Seat</v>
          </cell>
          <cell r="V1376" t="str">
            <v xml:space="preserve">固定座 </v>
          </cell>
        </row>
        <row r="1377">
          <cell r="B1377" t="str">
            <v>固定座</v>
          </cell>
          <cell r="C1377" t="str">
            <v>Mounting Seat</v>
          </cell>
          <cell r="V1377" t="str">
            <v xml:space="preserve">固定座 </v>
          </cell>
        </row>
        <row r="1378">
          <cell r="B1378" t="str">
            <v>防尘布</v>
          </cell>
          <cell r="C1378" t="str">
            <v>Dust Cover</v>
          </cell>
          <cell r="V1378" t="str">
            <v>防尘布 Material</v>
          </cell>
        </row>
        <row r="1379">
          <cell r="B1379" t="str">
            <v>防尘布</v>
          </cell>
          <cell r="C1379" t="str">
            <v>Dust Cover</v>
          </cell>
          <cell r="V1379" t="str">
            <v>防尘布 Black Nylon Cloth</v>
          </cell>
        </row>
        <row r="1380">
          <cell r="B1380" t="str">
            <v>应急灯</v>
          </cell>
          <cell r="C1380" t="str">
            <v>Emergency Lamp</v>
          </cell>
          <cell r="V1380" t="str">
            <v>应急灯 Type</v>
          </cell>
        </row>
        <row r="1381">
          <cell r="B1381" t="str">
            <v>应急灯</v>
          </cell>
          <cell r="C1381" t="str">
            <v>Emergency Lamp</v>
          </cell>
          <cell r="V1381" t="str">
            <v>应急灯 GC320A103</v>
          </cell>
        </row>
        <row r="1382">
          <cell r="B1382" t="str">
            <v>消防继电器板</v>
          </cell>
          <cell r="C1382" t="str">
            <v>Fire Relay Board</v>
          </cell>
          <cell r="V1382" t="str">
            <v>消防继电器板 Type</v>
          </cell>
        </row>
        <row r="1383">
          <cell r="B1383" t="str">
            <v>消防继电器板</v>
          </cell>
          <cell r="C1383" t="str">
            <v>Fire Relay Board</v>
          </cell>
          <cell r="V1383" t="str">
            <v>消防继电器板 FB060317C-2</v>
          </cell>
        </row>
        <row r="1384">
          <cell r="B1384" t="str">
            <v>显示板</v>
          </cell>
          <cell r="C1384" t="str">
            <v>Display Board</v>
          </cell>
          <cell r="V1384" t="str">
            <v>显示板 Type-Position</v>
          </cell>
        </row>
        <row r="1385">
          <cell r="B1385" t="str">
            <v>显示板</v>
          </cell>
          <cell r="C1385" t="str">
            <v>Display Board</v>
          </cell>
          <cell r="V1385" t="str">
            <v>显示板 MA9 Car</v>
          </cell>
        </row>
        <row r="1386">
          <cell r="B1386" t="str">
            <v>操纵箱盖板</v>
          </cell>
          <cell r="C1386" t="str">
            <v>COP Cover</v>
          </cell>
          <cell r="V1386" t="str">
            <v xml:space="preserve">操纵箱盖板 </v>
          </cell>
        </row>
        <row r="1387">
          <cell r="B1387" t="str">
            <v>操纵箱盖板</v>
          </cell>
          <cell r="C1387" t="str">
            <v>COP Cover</v>
          </cell>
          <cell r="V1387" t="str">
            <v xml:space="preserve">操纵箱盖板 </v>
          </cell>
        </row>
        <row r="1388">
          <cell r="B1388" t="str">
            <v>限速器支架</v>
          </cell>
          <cell r="C1388" t="str">
            <v>Governor Bracket</v>
          </cell>
          <cell r="V1388" t="str">
            <v xml:space="preserve">限速器支架 </v>
          </cell>
        </row>
        <row r="1389">
          <cell r="B1389" t="str">
            <v>限速器支架</v>
          </cell>
          <cell r="C1389" t="str">
            <v>Governor Bracket</v>
          </cell>
          <cell r="V1389" t="str">
            <v xml:space="preserve">限速器支架 </v>
          </cell>
        </row>
        <row r="1390">
          <cell r="B1390" t="str">
            <v>连接型材</v>
          </cell>
          <cell r="C1390" t="str">
            <v>Connection Profile</v>
          </cell>
          <cell r="V1390" t="str">
            <v xml:space="preserve">连接型材 </v>
          </cell>
        </row>
        <row r="1391">
          <cell r="B1391" t="str">
            <v>连接型材</v>
          </cell>
          <cell r="C1391" t="str">
            <v>Connection Profile</v>
          </cell>
          <cell r="V1391" t="str">
            <v xml:space="preserve">连接型材 </v>
          </cell>
        </row>
        <row r="1392">
          <cell r="B1392" t="str">
            <v>连接型材组件</v>
          </cell>
          <cell r="C1392" t="str">
            <v>Connection Profile Assy</v>
          </cell>
          <cell r="V1392" t="str">
            <v xml:space="preserve">连接型材组件 </v>
          </cell>
        </row>
        <row r="1393">
          <cell r="B1393" t="str">
            <v>连接型材组件</v>
          </cell>
          <cell r="C1393" t="str">
            <v>Connection Profile Assy</v>
          </cell>
          <cell r="V1393" t="str">
            <v xml:space="preserve">连接型材组件 </v>
          </cell>
        </row>
        <row r="1394">
          <cell r="B1394" t="str">
            <v>左置机房单元</v>
          </cell>
          <cell r="C1394" t="str">
            <v>Left Machine Room Unit</v>
          </cell>
          <cell r="V1394" t="str">
            <v>左置机房单元 Machine Type-CWT Position</v>
          </cell>
        </row>
        <row r="1395">
          <cell r="B1395" t="str">
            <v>左置机房单元</v>
          </cell>
          <cell r="C1395" t="str">
            <v>Left Machine Room Unit</v>
          </cell>
          <cell r="V1395" t="str">
            <v>左置机房单元 DAF210L CWT/SC</v>
          </cell>
        </row>
        <row r="1396">
          <cell r="B1396" t="str">
            <v>右置机房单元</v>
          </cell>
          <cell r="C1396" t="str">
            <v>Right Machine Room Unit</v>
          </cell>
          <cell r="V1396" t="str">
            <v>右置机房单元 Machine Type-CWT Position</v>
          </cell>
        </row>
        <row r="1397">
          <cell r="B1397" t="str">
            <v>右置机房单元</v>
          </cell>
          <cell r="C1397" t="str">
            <v>Right Machine Room Unit</v>
          </cell>
          <cell r="V1397" t="str">
            <v>右置机房单元 DAF210L CWT/SC</v>
          </cell>
        </row>
        <row r="1398">
          <cell r="B1398" t="str">
            <v>钢板网</v>
          </cell>
          <cell r="C1398" t="str">
            <v>Steel Screen</v>
          </cell>
          <cell r="V1398" t="str">
            <v xml:space="preserve">钢板网 Size(mm)-Code </v>
          </cell>
        </row>
        <row r="1399">
          <cell r="B1399" t="str">
            <v>钢板网</v>
          </cell>
          <cell r="C1399" t="str">
            <v>Steel Screen</v>
          </cell>
          <cell r="V1399" t="str">
            <v>钢板网 2.3*6 GB/T11953</v>
          </cell>
        </row>
        <row r="1400">
          <cell r="B1400" t="str">
            <v>指示灯</v>
          </cell>
          <cell r="C1400" t="str">
            <v>Indicator</v>
          </cell>
          <cell r="V1400" t="str">
            <v>指示灯 Type-Color</v>
          </cell>
        </row>
        <row r="1401">
          <cell r="B1401" t="str">
            <v>指示灯</v>
          </cell>
          <cell r="C1401" t="str">
            <v>Indicator</v>
          </cell>
          <cell r="V1401" t="str">
            <v>指示灯 XDX1-DC24V RED</v>
          </cell>
        </row>
        <row r="1402">
          <cell r="B1402" t="str">
            <v>触发磁铁</v>
          </cell>
          <cell r="C1402" t="str">
            <v>Trigger Magnet</v>
          </cell>
          <cell r="V1402" t="str">
            <v>触发磁铁 Type</v>
          </cell>
        </row>
        <row r="1403">
          <cell r="B1403" t="str">
            <v>触发磁铁</v>
          </cell>
          <cell r="C1403" t="str">
            <v>Trigger Magnet</v>
          </cell>
          <cell r="V1403" t="str">
            <v>触发磁铁 BP34</v>
          </cell>
        </row>
        <row r="1404">
          <cell r="B1404" t="str">
            <v>预绝缘插套</v>
          </cell>
          <cell r="C1404" t="str">
            <v>Insulating Collar</v>
          </cell>
          <cell r="V1404" t="str">
            <v>预绝缘插套 Type-Dimension(mm)</v>
          </cell>
        </row>
        <row r="1405">
          <cell r="B1405" t="str">
            <v>预绝缘插套</v>
          </cell>
          <cell r="C1405" t="str">
            <v>Insulating Collar</v>
          </cell>
          <cell r="V1405" t="str">
            <v>预绝缘插套 7.4</v>
          </cell>
        </row>
        <row r="1406">
          <cell r="B1406" t="str">
            <v>双面胶带</v>
          </cell>
          <cell r="C1406" t="str">
            <v>Double Sticky Tape</v>
          </cell>
          <cell r="V1406" t="str">
            <v>双面胶带 Type-Width(mm)</v>
          </cell>
        </row>
        <row r="1407">
          <cell r="B1407" t="str">
            <v>双面胶带</v>
          </cell>
          <cell r="C1407" t="str">
            <v>Double Sticky Tape</v>
          </cell>
          <cell r="V1407" t="str">
            <v>双面胶带 60</v>
          </cell>
        </row>
        <row r="1408">
          <cell r="B1408" t="str">
            <v>称重控制盒</v>
          </cell>
          <cell r="C1408" t="str">
            <v>Weighing Control Box</v>
          </cell>
          <cell r="V1408" t="str">
            <v>称重控制盒 Type</v>
          </cell>
        </row>
        <row r="1409">
          <cell r="B1409" t="str">
            <v>称重控制盒</v>
          </cell>
          <cell r="C1409" t="str">
            <v>Weighing Control Box</v>
          </cell>
          <cell r="V1409" t="str">
            <v>称重控制盒 LMS1</v>
          </cell>
        </row>
        <row r="1410">
          <cell r="B1410" t="str">
            <v>井道电缆夹</v>
          </cell>
          <cell r="C1410" t="str">
            <v>Shaft Cable Clip</v>
          </cell>
          <cell r="V1410" t="str">
            <v>井道电缆夹 Type</v>
          </cell>
        </row>
        <row r="1411">
          <cell r="B1411" t="str">
            <v>井道电缆夹</v>
          </cell>
          <cell r="C1411" t="str">
            <v>Shaft Cable Clip</v>
          </cell>
          <cell r="V1411" t="str">
            <v>井道电缆夹 TH-1</v>
          </cell>
        </row>
        <row r="1412">
          <cell r="B1412" t="str">
            <v>选层器叶片</v>
          </cell>
          <cell r="C1412" t="str">
            <v>Floor Selector Vane</v>
          </cell>
          <cell r="V1412" t="str">
            <v xml:space="preserve">选层器叶片 </v>
          </cell>
        </row>
        <row r="1413">
          <cell r="B1413" t="str">
            <v>选层器叶片</v>
          </cell>
          <cell r="C1413" t="str">
            <v>Floor Selector Vane</v>
          </cell>
          <cell r="V1413" t="str">
            <v xml:space="preserve">选层器叶片 </v>
          </cell>
        </row>
        <row r="1414">
          <cell r="B1414" t="str">
            <v>热轧工字钢</v>
          </cell>
          <cell r="C1414" t="str">
            <v>Hot-rolled Beam Steel</v>
          </cell>
          <cell r="V1414" t="str">
            <v>热轧工字钢 Spec-Standard Cord</v>
          </cell>
        </row>
        <row r="1415">
          <cell r="B1415" t="str">
            <v>热轧工字钢</v>
          </cell>
          <cell r="C1415" t="str">
            <v>Hot-rolled Beam Steel</v>
          </cell>
          <cell r="V1415" t="str">
            <v>热轧工字钢 20a GB/T706</v>
          </cell>
        </row>
        <row r="1416">
          <cell r="B1416" t="str">
            <v>叶片支架加强组件</v>
          </cell>
          <cell r="C1416" t="str">
            <v>Vane Bracket Stiffening Assy</v>
          </cell>
          <cell r="V1416" t="str">
            <v xml:space="preserve">叶片支架加强组件 </v>
          </cell>
        </row>
        <row r="1417">
          <cell r="B1417" t="str">
            <v>叶片支架加强组件</v>
          </cell>
          <cell r="C1417" t="str">
            <v>Vane Bracket Stiffening Assy</v>
          </cell>
          <cell r="V1417" t="str">
            <v xml:space="preserve">叶片支架加强组件 </v>
          </cell>
        </row>
        <row r="1418">
          <cell r="B1418" t="str">
            <v>侧挡板</v>
          </cell>
          <cell r="C1418" t="str">
            <v>Side Baffle</v>
          </cell>
          <cell r="V1418" t="str">
            <v xml:space="preserve">侧挡板 </v>
          </cell>
        </row>
        <row r="1419">
          <cell r="B1419" t="str">
            <v>侧挡板</v>
          </cell>
          <cell r="C1419" t="str">
            <v>Side Baffle</v>
          </cell>
          <cell r="V1419" t="str">
            <v xml:space="preserve">侧挡板 </v>
          </cell>
        </row>
        <row r="1420">
          <cell r="B1420" t="str">
            <v>压线帽</v>
          </cell>
          <cell r="C1420" t="str">
            <v>Close-End Connector</v>
          </cell>
          <cell r="V1420" t="str">
            <v>压线帽 Type</v>
          </cell>
        </row>
        <row r="1421">
          <cell r="B1421" t="str">
            <v>压线帽</v>
          </cell>
          <cell r="C1421" t="str">
            <v>Close-End Connector</v>
          </cell>
          <cell r="V1421" t="str">
            <v>压线帽 CE 2</v>
          </cell>
        </row>
        <row r="1422">
          <cell r="B1422" t="str">
            <v>曳引机机架焊接件</v>
          </cell>
          <cell r="C1422" t="str">
            <v>T/M Frame Weldment</v>
          </cell>
          <cell r="V1422" t="str">
            <v xml:space="preserve">曳引机机架焊接件 </v>
          </cell>
        </row>
        <row r="1423">
          <cell r="B1423" t="str">
            <v>曳引机机架焊接件</v>
          </cell>
          <cell r="C1423" t="str">
            <v>T/M Frame Weldment</v>
          </cell>
          <cell r="V1423" t="str">
            <v xml:space="preserve">曳引机机架焊接件 </v>
          </cell>
        </row>
        <row r="1424">
          <cell r="B1424" t="str">
            <v>断路器锁</v>
          </cell>
          <cell r="C1424" t="str">
            <v>Breaker Lock</v>
          </cell>
          <cell r="V1424" t="str">
            <v>断路器锁 Type</v>
          </cell>
        </row>
        <row r="1425">
          <cell r="B1425" t="str">
            <v>断路器锁</v>
          </cell>
          <cell r="C1425" t="str">
            <v>Breaker Lock</v>
          </cell>
          <cell r="V1425" t="str">
            <v xml:space="preserve">断路器锁 </v>
          </cell>
        </row>
        <row r="1426">
          <cell r="B1426" t="str">
            <v>断路器锁定装置</v>
          </cell>
          <cell r="C1426" t="str">
            <v>Breaker Locking Device</v>
          </cell>
          <cell r="V1426" t="str">
            <v>断路器锁定装置 Type</v>
          </cell>
        </row>
        <row r="1427">
          <cell r="B1427" t="str">
            <v>断路器锁定装置</v>
          </cell>
          <cell r="C1427" t="str">
            <v>Breaker Locking Device</v>
          </cell>
          <cell r="V1427" t="str">
            <v xml:space="preserve">断路器锁定装置 </v>
          </cell>
        </row>
        <row r="1428">
          <cell r="B1428" t="str">
            <v>芯片</v>
          </cell>
          <cell r="C1428" t="str">
            <v>Chip</v>
          </cell>
          <cell r="V1428" t="str">
            <v>芯片 Type</v>
          </cell>
        </row>
        <row r="1429">
          <cell r="B1429" t="str">
            <v>芯片</v>
          </cell>
          <cell r="C1429" t="str">
            <v>Chip</v>
          </cell>
          <cell r="V1429" t="str">
            <v xml:space="preserve">芯片 </v>
          </cell>
        </row>
        <row r="1430">
          <cell r="B1430" t="str">
            <v>轿门悬挂</v>
          </cell>
          <cell r="C1430" t="str">
            <v>C/Door Suspension</v>
          </cell>
          <cell r="V1430" t="str">
            <v>轿门悬挂 Type-Openning Direction-Style-Door Clear Opening Width(mm)-Surface Finish</v>
          </cell>
        </row>
        <row r="1431">
          <cell r="B1431" t="str">
            <v>轿门悬挂</v>
          </cell>
          <cell r="C1431" t="str">
            <v>C/Door Suspension</v>
          </cell>
          <cell r="V1431" t="str">
            <v>轿门悬挂 K200 CO FP DW800 MI</v>
          </cell>
        </row>
        <row r="1432">
          <cell r="B1432" t="str">
            <v>隔音板</v>
          </cell>
          <cell r="C1432" t="str">
            <v>Soundproof Plate</v>
          </cell>
          <cell r="V1432" t="str">
            <v>隔音板 Material</v>
          </cell>
        </row>
        <row r="1433">
          <cell r="B1433" t="str">
            <v>隔音板</v>
          </cell>
          <cell r="C1433" t="str">
            <v>Soundproof Plate</v>
          </cell>
          <cell r="V1433" t="str">
            <v>隔音板 OCF</v>
          </cell>
        </row>
        <row r="1434">
          <cell r="B1434" t="str">
            <v>机房附件</v>
          </cell>
          <cell r="C1434" t="str">
            <v>Machine Room Accessories</v>
          </cell>
          <cell r="V1434" t="str">
            <v>机房附件 Machine Type</v>
          </cell>
        </row>
        <row r="1435">
          <cell r="B1435" t="str">
            <v>机房附件</v>
          </cell>
          <cell r="C1435" t="str">
            <v>Machine Room Accessories</v>
          </cell>
          <cell r="V1435" t="str">
            <v>机房附件 DAF380</v>
          </cell>
        </row>
        <row r="1436">
          <cell r="B1436" t="str">
            <v>碟形弹簧</v>
          </cell>
          <cell r="C1436" t="str">
            <v>Disc Spring</v>
          </cell>
          <cell r="V1436" t="str">
            <v>碟形弹簧 Spec-Standard Cord</v>
          </cell>
        </row>
        <row r="1437">
          <cell r="B1437" t="str">
            <v>碟形弹簧</v>
          </cell>
          <cell r="C1437" t="str">
            <v>Disc Spring</v>
          </cell>
          <cell r="V1437" t="str">
            <v>碟形弹簧 A 100-1 GB/T1972</v>
          </cell>
        </row>
        <row r="1438">
          <cell r="B1438" t="str">
            <v>圆柱拉伸弹簧</v>
          </cell>
          <cell r="C1438" t="str">
            <v>C. T. Spring</v>
          </cell>
          <cell r="V1438" t="str">
            <v>圆柱拉伸弹簧 Type-Spec-Rotation Direction-Standard Code-Surface Finish
(GB/T 13911)</v>
          </cell>
        </row>
        <row r="1439">
          <cell r="B1439" t="str">
            <v>圆柱拉伸弹簧</v>
          </cell>
          <cell r="C1439" t="str">
            <v>C. T. Spring</v>
          </cell>
          <cell r="V1439" t="str">
            <v>圆柱拉伸弹簧 LII B 1*5*16.5-2 L GB/T2088Ct.O</v>
          </cell>
        </row>
        <row r="1440">
          <cell r="B1440" t="str">
            <v>圆柱拉伸弹簧</v>
          </cell>
          <cell r="C1440" t="str">
            <v>C. T. Spring</v>
          </cell>
          <cell r="V1440" t="str">
            <v>圆柱拉伸弹簧 LA 0.20*3.20*8.80*12.5-2 L GB/T1973.2 EP.Zn</v>
          </cell>
        </row>
        <row r="1441">
          <cell r="B1441" t="str">
            <v>圆柱压缩弹簧</v>
          </cell>
          <cell r="C1441" t="str">
            <v>C. C. Spring</v>
          </cell>
          <cell r="V1441" t="str">
            <v>圆柱压缩弹簧 Type-Spec-Rotation Direction-Standard Code-Surface Finish
(GB/T 13911)</v>
          </cell>
        </row>
        <row r="1442">
          <cell r="B1442" t="str">
            <v>圆柱压缩弹簧</v>
          </cell>
          <cell r="C1442" t="str">
            <v>C. C. Spring</v>
          </cell>
          <cell r="V1442" t="str">
            <v>圆柱压缩弹簧 YI 0.20*2.50*6*5.5-2 L GB/T1973.3 EP.Zn</v>
          </cell>
        </row>
        <row r="1443">
          <cell r="B1443" t="str">
            <v>圆柱压缩弹簧</v>
          </cell>
          <cell r="C1443" t="str">
            <v>C. C. Spring</v>
          </cell>
          <cell r="V1443" t="str">
            <v>圆柱压缩弹簧 YA 1.2*8*40-2 L GB/T2088 Ct.O</v>
          </cell>
        </row>
        <row r="1444">
          <cell r="B1444" t="str">
            <v>电路板</v>
          </cell>
          <cell r="C1444" t="str">
            <v>Circuit Board</v>
          </cell>
          <cell r="V1444" t="str">
            <v>电路板 Type</v>
          </cell>
        </row>
        <row r="1445">
          <cell r="B1445" t="str">
            <v>电路板</v>
          </cell>
          <cell r="C1445" t="str">
            <v>Circuit Board</v>
          </cell>
          <cell r="V1445" t="str">
            <v xml:space="preserve">电路板 </v>
          </cell>
        </row>
        <row r="1446">
          <cell r="B1446" t="str">
            <v>控制柜半成品</v>
          </cell>
          <cell r="C1446" t="str">
            <v>Semi-finished Controller</v>
          </cell>
          <cell r="V1446" t="str">
            <v>控制柜半成品 Inverter Type</v>
          </cell>
        </row>
        <row r="1447">
          <cell r="B1447" t="str">
            <v>控制柜半成品</v>
          </cell>
          <cell r="C1447" t="str">
            <v>Semi-finished Controller</v>
          </cell>
          <cell r="V1447" t="str">
            <v>控制柜半成品 CPIK15M1</v>
          </cell>
        </row>
        <row r="1448">
          <cell r="B1448" t="str">
            <v>按钮板组件</v>
          </cell>
          <cell r="C1448" t="str">
            <v>Button Plate Assy</v>
          </cell>
          <cell r="V1448" t="str">
            <v xml:space="preserve">按钮板组件 </v>
          </cell>
        </row>
        <row r="1449">
          <cell r="B1449" t="str">
            <v>按钮板组件</v>
          </cell>
          <cell r="C1449" t="str">
            <v>Button Plate Assy</v>
          </cell>
          <cell r="V1449" t="str">
            <v xml:space="preserve">按钮板组件 </v>
          </cell>
        </row>
        <row r="1450">
          <cell r="B1450" t="str">
            <v>按钮板线缆</v>
          </cell>
          <cell r="C1450" t="str">
            <v>Button Plate Cable</v>
          </cell>
          <cell r="V1450" t="str">
            <v xml:space="preserve">按钮板线缆 </v>
          </cell>
        </row>
        <row r="1451">
          <cell r="B1451" t="str">
            <v>按钮板线缆</v>
          </cell>
          <cell r="C1451" t="str">
            <v>Button Plate Cable</v>
          </cell>
          <cell r="V1451" t="str">
            <v xml:space="preserve">按钮板线缆 </v>
          </cell>
        </row>
        <row r="1452">
          <cell r="B1452" t="str">
            <v>控制柜底板组件</v>
          </cell>
          <cell r="C1452" t="str">
            <v>Controller Soleplate Assy</v>
          </cell>
          <cell r="V1452" t="str">
            <v xml:space="preserve">控制柜底板组件 </v>
          </cell>
        </row>
        <row r="1453">
          <cell r="B1453" t="str">
            <v>控制柜底板组件</v>
          </cell>
          <cell r="C1453" t="str">
            <v>Controller Soleplate Assy</v>
          </cell>
          <cell r="V1453" t="str">
            <v xml:space="preserve">控制柜底板组件 </v>
          </cell>
        </row>
        <row r="1454">
          <cell r="B1454" t="str">
            <v>控制柜底板线缆</v>
          </cell>
          <cell r="C1454" t="str">
            <v>Controller Soleplate Cable</v>
          </cell>
          <cell r="V1454" t="str">
            <v>控制柜底板线缆 Inverter Type-Lift Type</v>
          </cell>
        </row>
        <row r="1455">
          <cell r="B1455" t="str">
            <v>控制柜底板线缆</v>
          </cell>
          <cell r="C1455" t="str">
            <v>Controller Soleplate Cable</v>
          </cell>
          <cell r="V1455" t="str">
            <v>控制柜底板线缆 CPIK15M1 MR</v>
          </cell>
        </row>
        <row r="1456">
          <cell r="B1456" t="str">
            <v>控制柜控制线缆</v>
          </cell>
          <cell r="C1456" t="str">
            <v>Controller Control Cable</v>
          </cell>
          <cell r="V1456" t="str">
            <v>控制柜控制线缆 Inverter Type-Lift Type</v>
          </cell>
        </row>
        <row r="1457">
          <cell r="B1457" t="str">
            <v>控制柜控制线缆</v>
          </cell>
          <cell r="C1457" t="str">
            <v>Controller Control Cable</v>
          </cell>
          <cell r="V1457" t="str">
            <v>控制柜控制线缆 CPIK15M1 MRL</v>
          </cell>
        </row>
        <row r="1458">
          <cell r="B1458" t="str">
            <v>控制柜电源线缆</v>
          </cell>
          <cell r="C1458" t="str">
            <v>Controller P/Cable</v>
          </cell>
          <cell r="V1458" t="str">
            <v>控制柜电源线缆 Inverter Type-Lift Type</v>
          </cell>
        </row>
        <row r="1459">
          <cell r="B1459" t="str">
            <v>控制柜电源线缆</v>
          </cell>
          <cell r="C1459" t="str">
            <v>Controller P/Cable</v>
          </cell>
          <cell r="V1459" t="str">
            <v>控制柜电源线缆 CPIK15M1 MR</v>
          </cell>
        </row>
        <row r="1460">
          <cell r="B1460" t="str">
            <v>控制柜电源及控制线缆</v>
          </cell>
          <cell r="C1460" t="str">
            <v>Controller P&amp;C Cable</v>
          </cell>
          <cell r="V1460" t="str">
            <v>控制柜电源及控制线缆 Inverter Type-Lift Type</v>
          </cell>
        </row>
        <row r="1461">
          <cell r="B1461" t="str">
            <v>控制柜电源及控制线缆</v>
          </cell>
          <cell r="C1461" t="str">
            <v>Controller P&amp;C Cable</v>
          </cell>
          <cell r="V1461" t="str">
            <v>控制柜电源及控制线缆 CPIK15M1 MR</v>
          </cell>
        </row>
        <row r="1462">
          <cell r="B1462" t="str">
            <v>变频器柜线缆</v>
          </cell>
          <cell r="C1462" t="str">
            <v>Inverter Ctr Cable</v>
          </cell>
          <cell r="V1462" t="str">
            <v>变频器柜线缆 Inverter Type</v>
          </cell>
        </row>
        <row r="1463">
          <cell r="B1463" t="str">
            <v>变频器柜线缆</v>
          </cell>
          <cell r="C1463" t="str">
            <v>Inverter Ctr Cable</v>
          </cell>
          <cell r="V1463" t="str">
            <v>变频器柜线缆 CPIK15M1</v>
          </cell>
        </row>
        <row r="1464">
          <cell r="B1464" t="str">
            <v>变频器柜底板组件</v>
          </cell>
          <cell r="C1464" t="str">
            <v>Inverter Ctr Soleplate Assy</v>
          </cell>
          <cell r="V1464" t="str">
            <v>变频器柜底板组件 Inverter Type</v>
          </cell>
        </row>
        <row r="1465">
          <cell r="B1465" t="str">
            <v>变频器柜底板组件</v>
          </cell>
          <cell r="C1465" t="str">
            <v>Inverter Ctr Soleplate Assy</v>
          </cell>
          <cell r="V1465" t="str">
            <v>变频器柜底板组件 CPIK15M1</v>
          </cell>
        </row>
        <row r="1466">
          <cell r="B1466" t="str">
            <v>轿门立柱组件</v>
          </cell>
          <cell r="C1466" t="str">
            <v>C/Door Post Assy</v>
          </cell>
          <cell r="V1466" t="str">
            <v xml:space="preserve">轿门立柱组件 Openning Direction-DH-Surface Decoration </v>
          </cell>
        </row>
        <row r="1467">
          <cell r="B1467" t="str">
            <v>轿门立柱组件</v>
          </cell>
          <cell r="C1467" t="str">
            <v>C/Door Post Assy</v>
          </cell>
          <cell r="V1467" t="str">
            <v>轿门立柱组件 CODH2100FS/0.8/HL</v>
          </cell>
        </row>
        <row r="1468">
          <cell r="B1468" t="str">
            <v>角钢</v>
          </cell>
          <cell r="C1468" t="str">
            <v>Angle Steel</v>
          </cell>
          <cell r="V1468" t="str">
            <v xml:space="preserve">角钢 </v>
          </cell>
        </row>
        <row r="1469">
          <cell r="B1469" t="str">
            <v>角钢</v>
          </cell>
          <cell r="C1469" t="str">
            <v>Angle Steel</v>
          </cell>
          <cell r="V1469" t="str">
            <v xml:space="preserve">角钢 </v>
          </cell>
        </row>
        <row r="1470">
          <cell r="B1470" t="str">
            <v>限速器梁焊接件</v>
          </cell>
          <cell r="C1470" t="str">
            <v>Governor Beam Weldment</v>
          </cell>
          <cell r="V1470" t="str">
            <v xml:space="preserve">限速器梁焊接件 </v>
          </cell>
        </row>
        <row r="1471">
          <cell r="B1471" t="str">
            <v>限速器梁焊接件</v>
          </cell>
          <cell r="C1471" t="str">
            <v>Governor Beam Weldment</v>
          </cell>
          <cell r="V1471" t="str">
            <v xml:space="preserve">限速器梁焊接件 </v>
          </cell>
        </row>
        <row r="1472">
          <cell r="B1472" t="str">
            <v>底座</v>
          </cell>
          <cell r="C1472" t="str">
            <v>Base</v>
          </cell>
          <cell r="V1472" t="str">
            <v xml:space="preserve">底座 </v>
          </cell>
        </row>
        <row r="1473">
          <cell r="B1473" t="str">
            <v>底座</v>
          </cell>
          <cell r="C1473" t="str">
            <v>Base</v>
          </cell>
          <cell r="V1473" t="str">
            <v xml:space="preserve">底座 </v>
          </cell>
        </row>
        <row r="1474">
          <cell r="B1474" t="str">
            <v>底座组件</v>
          </cell>
          <cell r="C1474" t="str">
            <v>Base Assy</v>
          </cell>
          <cell r="V1474" t="str">
            <v xml:space="preserve">底座组件 </v>
          </cell>
        </row>
        <row r="1475">
          <cell r="B1475" t="str">
            <v>底座组件</v>
          </cell>
          <cell r="C1475" t="str">
            <v>Base Assy</v>
          </cell>
          <cell r="V1475" t="str">
            <v xml:space="preserve">底座组件 </v>
          </cell>
        </row>
        <row r="1476">
          <cell r="B1476" t="str">
            <v>螺纹板</v>
          </cell>
          <cell r="C1476" t="str">
            <v>Thread Plate</v>
          </cell>
          <cell r="V1476" t="str">
            <v xml:space="preserve">螺纹板 </v>
          </cell>
        </row>
        <row r="1477">
          <cell r="B1477" t="str">
            <v>螺纹板</v>
          </cell>
          <cell r="C1477" t="str">
            <v>Thread Plate</v>
          </cell>
          <cell r="V1477" t="str">
            <v xml:space="preserve">螺纹板 </v>
          </cell>
        </row>
        <row r="1478">
          <cell r="B1478" t="str">
            <v>机械联动装置</v>
          </cell>
          <cell r="C1478" t="str">
            <v>Machine Linkage Device</v>
          </cell>
          <cell r="V1478" t="str">
            <v xml:space="preserve">机械联动装置 </v>
          </cell>
        </row>
        <row r="1479">
          <cell r="B1479" t="str">
            <v>机械联动装置</v>
          </cell>
          <cell r="C1479" t="str">
            <v>Machine Linkage Device</v>
          </cell>
          <cell r="V1479" t="str">
            <v xml:space="preserve">机械联动装置 </v>
          </cell>
        </row>
        <row r="1480">
          <cell r="B1480" t="str">
            <v>补偿装置开关电缆</v>
          </cell>
          <cell r="C1480" t="str">
            <v>Compensation Device S/Cable</v>
          </cell>
          <cell r="V1480" t="str">
            <v xml:space="preserve">补偿装置开关电缆 </v>
          </cell>
        </row>
        <row r="1481">
          <cell r="B1481" t="str">
            <v>补偿装置开关电缆</v>
          </cell>
          <cell r="C1481" t="str">
            <v>Compensation Device S/Cable</v>
          </cell>
          <cell r="V1481" t="str">
            <v xml:space="preserve">补偿装置开关电缆 </v>
          </cell>
        </row>
        <row r="1482">
          <cell r="B1482" t="str">
            <v>端站减速组件</v>
          </cell>
          <cell r="C1482" t="str">
            <v>Terminal Deceleration Assy</v>
          </cell>
          <cell r="V1482" t="str">
            <v xml:space="preserve">端站减速组件 </v>
          </cell>
        </row>
        <row r="1483">
          <cell r="B1483" t="str">
            <v>端站减速组件</v>
          </cell>
          <cell r="C1483" t="str">
            <v>Terminal Deceleration Assy</v>
          </cell>
          <cell r="V1483" t="str">
            <v xml:space="preserve">端站减速组件 </v>
          </cell>
        </row>
        <row r="1484">
          <cell r="B1484" t="str">
            <v>减速叶片</v>
          </cell>
          <cell r="C1484" t="str">
            <v>Deceleration Vane</v>
          </cell>
          <cell r="V1484" t="str">
            <v xml:space="preserve">减速叶片 </v>
          </cell>
        </row>
        <row r="1485">
          <cell r="B1485" t="str">
            <v>减速叶片</v>
          </cell>
          <cell r="C1485" t="str">
            <v>Deceleration Vane</v>
          </cell>
          <cell r="V1485" t="str">
            <v xml:space="preserve">减速叶片 </v>
          </cell>
        </row>
        <row r="1486">
          <cell r="B1486" t="str">
            <v>S型钩</v>
          </cell>
          <cell r="C1486" t="str">
            <v>S Type Hook</v>
          </cell>
          <cell r="V1486" t="str">
            <v xml:space="preserve">S型钩 </v>
          </cell>
        </row>
        <row r="1487">
          <cell r="B1487" t="str">
            <v>S型钩</v>
          </cell>
          <cell r="C1487" t="str">
            <v>S Type Hook</v>
          </cell>
          <cell r="V1487" t="str">
            <v xml:space="preserve">S型钩 </v>
          </cell>
        </row>
        <row r="1488">
          <cell r="B1488" t="str">
            <v>轴</v>
          </cell>
          <cell r="C1488" t="str">
            <v>Axle</v>
          </cell>
          <cell r="V1488" t="str">
            <v xml:space="preserve">轴 </v>
          </cell>
        </row>
        <row r="1489">
          <cell r="B1489" t="str">
            <v>轴</v>
          </cell>
          <cell r="C1489" t="str">
            <v>Axle</v>
          </cell>
          <cell r="V1489" t="str">
            <v xml:space="preserve">轴 </v>
          </cell>
        </row>
        <row r="1490">
          <cell r="B1490" t="str">
            <v>张紧装置附件</v>
          </cell>
          <cell r="C1490" t="str">
            <v>Tension Device Accessories</v>
          </cell>
          <cell r="V1490" t="str">
            <v xml:space="preserve">张紧装置附件 </v>
          </cell>
        </row>
        <row r="1491">
          <cell r="B1491" t="str">
            <v>张紧装置附件</v>
          </cell>
          <cell r="C1491" t="str">
            <v>Tension Device Accessories</v>
          </cell>
          <cell r="V1491" t="str">
            <v xml:space="preserve">张紧装置附件 </v>
          </cell>
        </row>
        <row r="1492">
          <cell r="B1492" t="str">
            <v>地震功能组件</v>
          </cell>
          <cell r="C1492" t="str">
            <v>Earthquake Function Assy</v>
          </cell>
          <cell r="V1492" t="str">
            <v>地震功能组件 Control System Type</v>
          </cell>
        </row>
        <row r="1493">
          <cell r="B1493" t="str">
            <v>地震功能组件</v>
          </cell>
          <cell r="C1493" t="str">
            <v>Earthquake Function Assy</v>
          </cell>
          <cell r="V1493" t="str">
            <v>地震功能组件 MC2</v>
          </cell>
        </row>
        <row r="1494">
          <cell r="B1494" t="str">
            <v>预开门功能组件</v>
          </cell>
          <cell r="C1494" t="str">
            <v>Pre-Opening Function Assy</v>
          </cell>
          <cell r="V1494" t="str">
            <v>预开门功能组件 Control System Type</v>
          </cell>
        </row>
        <row r="1495">
          <cell r="B1495" t="str">
            <v>预开门功能组件</v>
          </cell>
          <cell r="C1495" t="str">
            <v>Pre-Opening Function Assy</v>
          </cell>
          <cell r="V1495" t="str">
            <v>预开门功能组件 TCM-MC2</v>
          </cell>
        </row>
        <row r="1496">
          <cell r="B1496" t="str">
            <v>高峰运行功能组件</v>
          </cell>
          <cell r="C1496" t="str">
            <v>Peak Service Function Assy</v>
          </cell>
          <cell r="V1496" t="str">
            <v>高峰运行功能组件 Control System Type</v>
          </cell>
        </row>
        <row r="1497">
          <cell r="B1497" t="str">
            <v>高峰运行功能组件</v>
          </cell>
          <cell r="C1497" t="str">
            <v>Peak Service Function Assy</v>
          </cell>
          <cell r="V1497" t="str">
            <v>高峰运行功能组件 TCM-MC2</v>
          </cell>
        </row>
        <row r="1498">
          <cell r="B1498" t="str">
            <v>自动救援装置功能组件</v>
          </cell>
          <cell r="C1498" t="str">
            <v>ARD Function Assy</v>
          </cell>
          <cell r="V1498" t="str">
            <v>自动救援装置功能组件 Control System Type</v>
          </cell>
        </row>
        <row r="1499">
          <cell r="B1499" t="str">
            <v>自动救援装置功能组件</v>
          </cell>
          <cell r="C1499" t="str">
            <v>ARD Function Assy</v>
          </cell>
          <cell r="V1499" t="str">
            <v>自动救援装置功能组件 MC2</v>
          </cell>
        </row>
        <row r="1500">
          <cell r="B1500" t="str">
            <v>BAS接口功能组件</v>
          </cell>
          <cell r="C1500" t="str">
            <v>BAS Interface Function Assy</v>
          </cell>
          <cell r="V1500" t="str">
            <v>BAS接口功能组件 Control System Type</v>
          </cell>
        </row>
        <row r="1501">
          <cell r="B1501" t="str">
            <v>BAS接口功能组件</v>
          </cell>
          <cell r="C1501" t="str">
            <v>BAS Interface Function Assy</v>
          </cell>
          <cell r="V1501" t="str">
            <v>BAS接口功能组件 MC2</v>
          </cell>
        </row>
        <row r="1502">
          <cell r="B1502" t="str">
            <v>转子铁芯</v>
          </cell>
          <cell r="C1502" t="str">
            <v>Rotor Core</v>
          </cell>
          <cell r="V1502" t="str">
            <v>转子铁芯 Length(mm)-Dia.(mm)-Material</v>
          </cell>
        </row>
        <row r="1503">
          <cell r="B1503" t="str">
            <v>转子铁芯</v>
          </cell>
          <cell r="C1503" t="str">
            <v>Rotor Core</v>
          </cell>
          <cell r="V1503" t="str">
            <v>转子铁芯 L250 D260 DR510-50</v>
          </cell>
        </row>
        <row r="1504">
          <cell r="B1504" t="str">
            <v>厅门地坎安装附件</v>
          </cell>
          <cell r="C1504" t="str">
            <v>L/Door Sill Fix Accessories</v>
          </cell>
          <cell r="V1504" t="str">
            <v xml:space="preserve">厅门地坎安装附件 </v>
          </cell>
        </row>
        <row r="1505">
          <cell r="B1505" t="str">
            <v>厅门地坎安装附件</v>
          </cell>
          <cell r="C1505" t="str">
            <v>L/Door Sill Fix Accessories</v>
          </cell>
          <cell r="V1505" t="str">
            <v xml:space="preserve">厅门地坎安装附件 </v>
          </cell>
        </row>
        <row r="1506">
          <cell r="B1506" t="str">
            <v>轿门地坎安装附件</v>
          </cell>
          <cell r="C1506" t="str">
            <v>C/Door Sill Fix Accessories</v>
          </cell>
          <cell r="V1506" t="str">
            <v xml:space="preserve">轿门地坎安装附件 </v>
          </cell>
        </row>
        <row r="1507">
          <cell r="B1507" t="str">
            <v>轿门地坎安装附件</v>
          </cell>
          <cell r="C1507" t="str">
            <v>C/Door Sill Fix Accessories</v>
          </cell>
          <cell r="V1507" t="str">
            <v xml:space="preserve">轿门地坎安装附件 </v>
          </cell>
        </row>
        <row r="1508">
          <cell r="B1508" t="str">
            <v>补偿绳张紧装置</v>
          </cell>
          <cell r="C1508" t="str">
            <v>C. Rope Tension Device</v>
          </cell>
          <cell r="V1508" t="str">
            <v xml:space="preserve">补偿绳张紧装置 </v>
          </cell>
        </row>
        <row r="1509">
          <cell r="B1509" t="str">
            <v>补偿绳张紧装置</v>
          </cell>
          <cell r="C1509" t="str">
            <v>C. Rope Tension Device</v>
          </cell>
          <cell r="V1509" t="str">
            <v xml:space="preserve">补偿绳张紧装置 </v>
          </cell>
        </row>
        <row r="1510">
          <cell r="B1510" t="str">
            <v>补偿绳张紧装置底座</v>
          </cell>
          <cell r="C1510" t="str">
            <v>C. Rope Tension Device Base</v>
          </cell>
          <cell r="V1510" t="str">
            <v xml:space="preserve">补偿绳张紧装置底座 </v>
          </cell>
        </row>
        <row r="1511">
          <cell r="B1511" t="str">
            <v>补偿绳张紧装置底座</v>
          </cell>
          <cell r="C1511" t="str">
            <v>C. Rope Tension Device Base</v>
          </cell>
          <cell r="V1511" t="str">
            <v xml:space="preserve">补偿绳张紧装置底座 </v>
          </cell>
        </row>
        <row r="1512">
          <cell r="B1512" t="str">
            <v>补偿绳张紧装置导轨</v>
          </cell>
          <cell r="C1512" t="str">
            <v>C. Rope Tension Device Guide Rail</v>
          </cell>
          <cell r="V1512" t="str">
            <v xml:space="preserve">补偿绳张紧装置导轨 </v>
          </cell>
        </row>
        <row r="1513">
          <cell r="B1513" t="str">
            <v>补偿绳张紧装置导轨</v>
          </cell>
          <cell r="C1513" t="str">
            <v>C. Rope Tension Device Guide Rail</v>
          </cell>
          <cell r="V1513" t="str">
            <v xml:space="preserve">补偿绳张紧装置导轨 </v>
          </cell>
        </row>
        <row r="1514">
          <cell r="B1514" t="str">
            <v>补偿绳张紧装置横梁</v>
          </cell>
          <cell r="C1514" t="str">
            <v>C. Rope Tension Device Transom</v>
          </cell>
          <cell r="V1514" t="str">
            <v xml:space="preserve">补偿绳张紧装置横梁 </v>
          </cell>
        </row>
        <row r="1515">
          <cell r="B1515" t="str">
            <v>补偿绳张紧装置横梁</v>
          </cell>
          <cell r="C1515" t="str">
            <v>C. Rope Tension Device Transom</v>
          </cell>
          <cell r="V1515" t="str">
            <v xml:space="preserve">补偿绳张紧装置横梁 </v>
          </cell>
        </row>
        <row r="1516">
          <cell r="B1516" t="str">
            <v>张紧块</v>
          </cell>
          <cell r="C1516" t="str">
            <v>Tension Weight</v>
          </cell>
          <cell r="V1516" t="str">
            <v>张紧块 Weight-Material</v>
          </cell>
        </row>
        <row r="1517">
          <cell r="B1517" t="str">
            <v>张紧块</v>
          </cell>
          <cell r="C1517" t="str">
            <v>Tension Weight</v>
          </cell>
          <cell r="V1517" t="str">
            <v>张紧块 50kg CM</v>
          </cell>
        </row>
        <row r="1518">
          <cell r="B1518" t="str">
            <v>缓冲器底座</v>
          </cell>
          <cell r="C1518" t="str">
            <v>Buffer Base</v>
          </cell>
          <cell r="V1518" t="str">
            <v>缓冲器底座 Position</v>
          </cell>
        </row>
        <row r="1519">
          <cell r="B1519" t="str">
            <v>缓冲器底座</v>
          </cell>
          <cell r="C1519" t="str">
            <v>Buffer Base</v>
          </cell>
          <cell r="V1519" t="str">
            <v>缓冲器底座 Car</v>
          </cell>
        </row>
        <row r="1520">
          <cell r="B1520" t="str">
            <v>侧板组件</v>
          </cell>
          <cell r="C1520" t="str">
            <v>Side Plate Assy</v>
          </cell>
          <cell r="V1520" t="str">
            <v xml:space="preserve">侧板组件 </v>
          </cell>
        </row>
        <row r="1521">
          <cell r="B1521" t="str">
            <v>侧板组件</v>
          </cell>
          <cell r="C1521" t="str">
            <v>Side Plate Assy</v>
          </cell>
          <cell r="V1521" t="str">
            <v xml:space="preserve">侧板组件 </v>
          </cell>
        </row>
        <row r="1522">
          <cell r="B1522" t="str">
            <v>挡块</v>
          </cell>
          <cell r="C1522" t="str">
            <v>Baffle Block</v>
          </cell>
          <cell r="V1522" t="str">
            <v xml:space="preserve">挡块 </v>
          </cell>
        </row>
        <row r="1523">
          <cell r="B1523" t="str">
            <v>挡块</v>
          </cell>
          <cell r="C1523" t="str">
            <v>Baffle Block</v>
          </cell>
          <cell r="V1523" t="str">
            <v xml:space="preserve">挡块 </v>
          </cell>
        </row>
        <row r="1524">
          <cell r="B1524" t="str">
            <v>衬套</v>
          </cell>
          <cell r="C1524" t="str">
            <v>Sleeve</v>
          </cell>
          <cell r="V1524" t="str">
            <v xml:space="preserve">衬套 </v>
          </cell>
        </row>
        <row r="1525">
          <cell r="B1525" t="str">
            <v>衬套</v>
          </cell>
          <cell r="C1525" t="str">
            <v>Sleeve</v>
          </cell>
          <cell r="V1525" t="str">
            <v xml:space="preserve">衬套 </v>
          </cell>
        </row>
        <row r="1526">
          <cell r="B1526" t="str">
            <v>框架焊接件</v>
          </cell>
          <cell r="C1526" t="str">
            <v>Frame Weldment</v>
          </cell>
          <cell r="V1526" t="str">
            <v xml:space="preserve">框架焊接件 </v>
          </cell>
        </row>
        <row r="1527">
          <cell r="B1527" t="str">
            <v>框架焊接件</v>
          </cell>
          <cell r="C1527" t="str">
            <v>Frame Weldment</v>
          </cell>
          <cell r="V1527" t="str">
            <v xml:space="preserve">框架焊接件 </v>
          </cell>
        </row>
        <row r="1528">
          <cell r="B1528" t="str">
            <v>焊接板</v>
          </cell>
          <cell r="C1528" t="str">
            <v>Welding Plate</v>
          </cell>
          <cell r="V1528" t="str">
            <v xml:space="preserve">焊接板 </v>
          </cell>
        </row>
        <row r="1529">
          <cell r="B1529" t="str">
            <v>焊接板</v>
          </cell>
          <cell r="C1529" t="str">
            <v>Welding Plate</v>
          </cell>
          <cell r="V1529" t="str">
            <v xml:space="preserve">焊接板 </v>
          </cell>
        </row>
        <row r="1530">
          <cell r="B1530" t="str">
            <v>导轨压板组件</v>
          </cell>
          <cell r="C1530" t="str">
            <v>Rail Clip Assy</v>
          </cell>
          <cell r="V1530" t="str">
            <v>导轨压板组件 Type-Apply for</v>
          </cell>
        </row>
        <row r="1531">
          <cell r="B1531" t="str">
            <v>导轨压板组件</v>
          </cell>
          <cell r="C1531" t="str">
            <v>Rail Clip Assy</v>
          </cell>
          <cell r="V1531" t="str">
            <v>导轨压板组件 A13 T89/B or T90/B</v>
          </cell>
        </row>
        <row r="1532">
          <cell r="B1532" t="str">
            <v>横梁组件</v>
          </cell>
          <cell r="C1532" t="str">
            <v>Transom Assy</v>
          </cell>
          <cell r="V1532" t="str">
            <v xml:space="preserve">横梁组件 </v>
          </cell>
        </row>
        <row r="1533">
          <cell r="B1533" t="str">
            <v>横梁组件</v>
          </cell>
          <cell r="C1533" t="str">
            <v>Transom Assy</v>
          </cell>
          <cell r="V1533" t="str">
            <v xml:space="preserve">横梁组件 </v>
          </cell>
        </row>
        <row r="1534">
          <cell r="B1534" t="str">
            <v>缓冲器立柱</v>
          </cell>
          <cell r="C1534" t="str">
            <v>Buffer Prop</v>
          </cell>
          <cell r="V1534" t="str">
            <v xml:space="preserve">缓冲器立柱 </v>
          </cell>
        </row>
        <row r="1535">
          <cell r="B1535" t="str">
            <v>缓冲器立柱</v>
          </cell>
          <cell r="C1535" t="str">
            <v>Buffer Prop</v>
          </cell>
          <cell r="V1535" t="str">
            <v xml:space="preserve">缓冲器立柱 </v>
          </cell>
        </row>
        <row r="1536">
          <cell r="B1536" t="str">
            <v>立柱焊接件</v>
          </cell>
          <cell r="C1536" t="str">
            <v>Post Weldment</v>
          </cell>
          <cell r="V1536" t="str">
            <v>立柱焊接件 Type-Door Clear Height(mm)-Position</v>
          </cell>
        </row>
        <row r="1537">
          <cell r="B1537" t="str">
            <v>立柱焊接件</v>
          </cell>
          <cell r="C1537" t="str">
            <v>Post Weldment</v>
          </cell>
          <cell r="V1537" t="str">
            <v>立柱焊接件 S200 DH2100 Right</v>
          </cell>
        </row>
        <row r="1538">
          <cell r="B1538" t="str">
            <v>端盖</v>
          </cell>
          <cell r="C1538" t="str">
            <v>End Shield</v>
          </cell>
          <cell r="V1538" t="str">
            <v xml:space="preserve">端盖 </v>
          </cell>
        </row>
        <row r="1539">
          <cell r="B1539" t="str">
            <v>端盖</v>
          </cell>
          <cell r="C1539" t="str">
            <v>End Shield</v>
          </cell>
          <cell r="V1539" t="str">
            <v xml:space="preserve">端盖 </v>
          </cell>
        </row>
        <row r="1540">
          <cell r="B1540" t="str">
            <v>横联组件</v>
          </cell>
          <cell r="C1540" t="str">
            <v>Cross-Connection Assy</v>
          </cell>
          <cell r="V1540" t="str">
            <v xml:space="preserve">横联组件 </v>
          </cell>
        </row>
        <row r="1541">
          <cell r="B1541" t="str">
            <v>横联组件</v>
          </cell>
          <cell r="C1541" t="str">
            <v>Cross-Connection Assy</v>
          </cell>
          <cell r="V1541" t="str">
            <v xml:space="preserve">横联组件 </v>
          </cell>
        </row>
        <row r="1542">
          <cell r="B1542" t="str">
            <v>接线座组件</v>
          </cell>
          <cell r="C1542" t="str">
            <v>Connector Seat Assy</v>
          </cell>
          <cell r="V1542" t="str">
            <v xml:space="preserve">接线座组件 </v>
          </cell>
        </row>
        <row r="1543">
          <cell r="B1543" t="str">
            <v>接线座组件</v>
          </cell>
          <cell r="C1543" t="str">
            <v>Connector Seat Assy</v>
          </cell>
          <cell r="V1543" t="str">
            <v xml:space="preserve">接线座组件 </v>
          </cell>
        </row>
        <row r="1544">
          <cell r="B1544" t="str">
            <v>阻尼器</v>
          </cell>
          <cell r="C1544" t="str">
            <v>Damper</v>
          </cell>
          <cell r="V1544" t="str">
            <v xml:space="preserve">阻尼器 </v>
          </cell>
        </row>
        <row r="1545">
          <cell r="B1545" t="str">
            <v>阻尼器</v>
          </cell>
          <cell r="C1545" t="str">
            <v>Damper</v>
          </cell>
          <cell r="V1545" t="str">
            <v xml:space="preserve">阻尼器 </v>
          </cell>
        </row>
        <row r="1546">
          <cell r="B1546" t="str">
            <v>隔音材料</v>
          </cell>
          <cell r="C1546" t="str">
            <v>Soundproof Stuff</v>
          </cell>
          <cell r="V1546" t="str">
            <v>隔音材料 Material</v>
          </cell>
        </row>
        <row r="1547">
          <cell r="B1547" t="str">
            <v>隔音材料</v>
          </cell>
          <cell r="C1547" t="str">
            <v>Soundproof Stuff</v>
          </cell>
          <cell r="V1547" t="str">
            <v xml:space="preserve">隔音材料 </v>
          </cell>
        </row>
        <row r="1548">
          <cell r="B1548" t="str">
            <v>消防返回到位开关组件</v>
          </cell>
          <cell r="C1548" t="str">
            <v>Fire Return Complete Switch Assy</v>
          </cell>
          <cell r="V1548" t="str">
            <v xml:space="preserve">消防返回到位开关组件 </v>
          </cell>
        </row>
        <row r="1549">
          <cell r="B1549" t="str">
            <v>消防返回到位开关组件</v>
          </cell>
          <cell r="C1549" t="str">
            <v>Fire Return Complete Switch Assy</v>
          </cell>
          <cell r="V1549" t="str">
            <v xml:space="preserve">消防返回到位开关组件 </v>
          </cell>
        </row>
        <row r="1550">
          <cell r="B1550" t="str">
            <v>底坑检修门开关电缆</v>
          </cell>
          <cell r="C1550" t="str">
            <v>Pit Inspection Door S/Cable</v>
          </cell>
          <cell r="V1550" t="str">
            <v xml:space="preserve">底坑检修门开关电缆 </v>
          </cell>
        </row>
        <row r="1551">
          <cell r="B1551" t="str">
            <v>底坑检修门开关电缆</v>
          </cell>
          <cell r="C1551" t="str">
            <v>Pit Inspection Door S/Cable</v>
          </cell>
          <cell r="V1551" t="str">
            <v xml:space="preserve">底坑检修门开关电缆 </v>
          </cell>
        </row>
        <row r="1552">
          <cell r="B1552" t="str">
            <v>开关加长电缆</v>
          </cell>
          <cell r="C1552" t="str">
            <v>Lengthening S/Cable</v>
          </cell>
          <cell r="V1552" t="str">
            <v xml:space="preserve">开关加长电缆 </v>
          </cell>
        </row>
        <row r="1553">
          <cell r="B1553" t="str">
            <v>开关加长电缆</v>
          </cell>
          <cell r="C1553" t="str">
            <v>Lengthening S/Cable</v>
          </cell>
          <cell r="V1553" t="str">
            <v xml:space="preserve">开关加长电缆 </v>
          </cell>
        </row>
        <row r="1554">
          <cell r="B1554" t="str">
            <v>安全触板开关电缆</v>
          </cell>
          <cell r="C1554" t="str">
            <v>Satety Shoe S/Cable</v>
          </cell>
          <cell r="V1554" t="str">
            <v xml:space="preserve">安全触板开关电缆 </v>
          </cell>
        </row>
        <row r="1555">
          <cell r="B1555" t="str">
            <v>安全触板开关电缆</v>
          </cell>
          <cell r="C1555" t="str">
            <v>Satety Shoe S/Cable</v>
          </cell>
          <cell r="V1555" t="str">
            <v xml:space="preserve">安全触板开关电缆 </v>
          </cell>
        </row>
        <row r="1556">
          <cell r="B1556" t="str">
            <v>方垫片</v>
          </cell>
          <cell r="C1556" t="str">
            <v>Square Shim</v>
          </cell>
          <cell r="V1556" t="str">
            <v>方垫片 Thickness(mm)</v>
          </cell>
        </row>
        <row r="1557">
          <cell r="B1557" t="str">
            <v>方垫片</v>
          </cell>
          <cell r="C1557" t="str">
            <v>Square Shim</v>
          </cell>
          <cell r="V1557" t="str">
            <v>方垫片 t4</v>
          </cell>
        </row>
        <row r="1558">
          <cell r="B1558" t="str">
            <v>轿壁连接盒</v>
          </cell>
          <cell r="C1558" t="str">
            <v>Car Panel Connection Box</v>
          </cell>
          <cell r="V1558" t="str">
            <v>轿壁连接盒 Material</v>
          </cell>
        </row>
        <row r="1559">
          <cell r="B1559" t="str">
            <v>轿壁连接盒</v>
          </cell>
          <cell r="C1559" t="str">
            <v>Car Panel Connection Box</v>
          </cell>
          <cell r="V1559" t="str">
            <v>轿壁连接盒 PVC</v>
          </cell>
        </row>
        <row r="1560">
          <cell r="B1560" t="str">
            <v>门板防撞橡胶</v>
          </cell>
          <cell r="C1560" t="str">
            <v>Door Panel Anti-collision Rubber</v>
          </cell>
          <cell r="V1560" t="str">
            <v>门板防撞橡胶 Material</v>
          </cell>
        </row>
        <row r="1561">
          <cell r="B1561" t="str">
            <v>门板防撞橡胶</v>
          </cell>
          <cell r="C1561" t="str">
            <v>Door Panel Anti-collision Rubber</v>
          </cell>
          <cell r="V1561" t="str">
            <v xml:space="preserve">门板防撞橡胶 </v>
          </cell>
        </row>
        <row r="1562">
          <cell r="B1562" t="str">
            <v>外召按钮电缆</v>
          </cell>
          <cell r="C1562" t="str">
            <v>Landing Button Cable</v>
          </cell>
          <cell r="V1562" t="str">
            <v>外召按钮电缆 Button-Direction-Parallel</v>
          </cell>
        </row>
        <row r="1563">
          <cell r="B1563" t="str">
            <v>外召按钮电缆</v>
          </cell>
          <cell r="C1563" t="str">
            <v>Landing Button Cable</v>
          </cell>
          <cell r="V1563" t="str">
            <v>外召按钮电缆 AN170 D/U S</v>
          </cell>
        </row>
        <row r="1564">
          <cell r="B1564" t="str">
            <v>接地线</v>
          </cell>
          <cell r="C1564" t="str">
            <v>Earthing Wire</v>
          </cell>
          <cell r="V1564" t="str">
            <v>接地线 Spec.</v>
          </cell>
        </row>
        <row r="1565">
          <cell r="B1565" t="str">
            <v>接地线</v>
          </cell>
          <cell r="C1565" t="str">
            <v>Earthing Wire</v>
          </cell>
          <cell r="V1565" t="str">
            <v>接地线 RV-2.0 mm²</v>
          </cell>
        </row>
        <row r="1566">
          <cell r="B1566" t="str">
            <v>底部导轨</v>
          </cell>
          <cell r="C1566" t="str">
            <v>Bottom Guide Rail</v>
          </cell>
          <cell r="V1566" t="str">
            <v>底部导轨 Type-Length(mm)-Manufactrurer</v>
          </cell>
        </row>
        <row r="1567">
          <cell r="B1567" t="str">
            <v>底部导轨</v>
          </cell>
          <cell r="C1567" t="str">
            <v>Bottom Guide Rail</v>
          </cell>
          <cell r="V1567" t="str">
            <v>底部导轨 T89/B L4000 SAVERA</v>
          </cell>
        </row>
        <row r="1568">
          <cell r="B1568" t="str">
            <v>平头铆钉</v>
          </cell>
          <cell r="C1568" t="str">
            <v>Flat Head Rivet</v>
          </cell>
          <cell r="V1568" t="str">
            <v>平头铆钉 Spec-Standard Cord</v>
          </cell>
        </row>
        <row r="1569">
          <cell r="B1569" t="str">
            <v>平头铆钉</v>
          </cell>
          <cell r="C1569" t="str">
            <v>Flat Head Rivet</v>
          </cell>
          <cell r="V1569" t="str">
            <v>平头铆钉 6*15 GB/T109</v>
          </cell>
        </row>
        <row r="1570">
          <cell r="B1570" t="str">
            <v>松闸装置电源电缆</v>
          </cell>
          <cell r="C1570" t="str">
            <v>Release Brake Device P/Cable</v>
          </cell>
          <cell r="V1570" t="str">
            <v xml:space="preserve">松闸装置电源电缆 </v>
          </cell>
        </row>
        <row r="1571">
          <cell r="B1571" t="str">
            <v>松闸装置电源电缆</v>
          </cell>
          <cell r="C1571" t="str">
            <v>Release Brake Device P/Cable</v>
          </cell>
          <cell r="V1571" t="str">
            <v xml:space="preserve">松闸装置电源电缆 </v>
          </cell>
        </row>
        <row r="1572">
          <cell r="B1572" t="str">
            <v>松闸功能组件</v>
          </cell>
          <cell r="C1572" t="str">
            <v>Release Brake Function Assy</v>
          </cell>
          <cell r="V1572" t="str">
            <v xml:space="preserve">松闸功能组件 </v>
          </cell>
        </row>
        <row r="1573">
          <cell r="B1573" t="str">
            <v>松闸功能组件</v>
          </cell>
          <cell r="C1573" t="str">
            <v>Release Brake Function Assy</v>
          </cell>
          <cell r="V1573" t="str">
            <v xml:space="preserve">松闸功能组件 </v>
          </cell>
        </row>
        <row r="1574">
          <cell r="B1574" t="str">
            <v>警示牌</v>
          </cell>
          <cell r="C1574" t="str">
            <v>Warning Plate</v>
          </cell>
          <cell r="V1574" t="str">
            <v>警示牌 Location-Language</v>
          </cell>
        </row>
        <row r="1575">
          <cell r="B1575" t="str">
            <v>警示牌</v>
          </cell>
          <cell r="C1575" t="str">
            <v>Warning Plate</v>
          </cell>
          <cell r="V1575" t="str">
            <v>警示牌 Car Roof  EN</v>
          </cell>
        </row>
        <row r="1576">
          <cell r="B1576" t="str">
            <v>随行电缆保护装置</v>
          </cell>
          <cell r="C1576" t="str">
            <v>Traveling Cable Protection Device</v>
          </cell>
          <cell r="V1576" t="str">
            <v xml:space="preserve">随行电缆保护装置 </v>
          </cell>
        </row>
        <row r="1577">
          <cell r="B1577" t="str">
            <v>随行电缆保护装置</v>
          </cell>
          <cell r="C1577" t="str">
            <v>Traveling Cable Protection Device</v>
          </cell>
          <cell r="V1577" t="str">
            <v xml:space="preserve">随行电缆保护装置 </v>
          </cell>
        </row>
        <row r="1578">
          <cell r="B1578" t="str">
            <v>夹紧块</v>
          </cell>
          <cell r="C1578" t="str">
            <v>Clamping Block</v>
          </cell>
          <cell r="V1578" t="str">
            <v xml:space="preserve">夹紧块 </v>
          </cell>
        </row>
        <row r="1579">
          <cell r="B1579" t="str">
            <v>夹紧块</v>
          </cell>
          <cell r="C1579" t="str">
            <v>Clamping Block</v>
          </cell>
          <cell r="V1579" t="str">
            <v xml:space="preserve">夹紧块 </v>
          </cell>
        </row>
        <row r="1580">
          <cell r="B1580" t="str">
            <v>手柄</v>
          </cell>
          <cell r="C1580" t="str">
            <v>Handle</v>
          </cell>
          <cell r="V1580" t="str">
            <v xml:space="preserve">手柄 </v>
          </cell>
        </row>
        <row r="1581">
          <cell r="B1581" t="str">
            <v>手柄</v>
          </cell>
          <cell r="C1581" t="str">
            <v>Handle</v>
          </cell>
          <cell r="V1581" t="str">
            <v xml:space="preserve">手柄 </v>
          </cell>
        </row>
        <row r="1582">
          <cell r="B1582" t="str">
            <v>盘车装置</v>
          </cell>
          <cell r="C1582" t="str">
            <v>Turning Gear</v>
          </cell>
          <cell r="V1582" t="str">
            <v xml:space="preserve">盘车装置 </v>
          </cell>
        </row>
        <row r="1583">
          <cell r="B1583" t="str">
            <v>盘车装置</v>
          </cell>
          <cell r="C1583" t="str">
            <v>Turning Gear</v>
          </cell>
          <cell r="V1583" t="str">
            <v xml:space="preserve">盘车装置 </v>
          </cell>
        </row>
        <row r="1584">
          <cell r="B1584" t="str">
            <v>上端爬梯</v>
          </cell>
          <cell r="C1584" t="str">
            <v>Upper Ladder</v>
          </cell>
          <cell r="V1584" t="str">
            <v>上端爬梯 Height(mm)</v>
          </cell>
        </row>
        <row r="1585">
          <cell r="B1585" t="str">
            <v>上端爬梯</v>
          </cell>
          <cell r="C1585" t="str">
            <v>Upper Ladder</v>
          </cell>
          <cell r="V1585" t="str">
            <v>上端爬梯 H1500</v>
          </cell>
        </row>
        <row r="1586">
          <cell r="B1586" t="str">
            <v>下端爬梯</v>
          </cell>
          <cell r="C1586" t="str">
            <v>Lower Ladder</v>
          </cell>
          <cell r="V1586" t="str">
            <v>下端爬梯 Height(mm)</v>
          </cell>
        </row>
        <row r="1587">
          <cell r="B1587" t="str">
            <v>下端爬梯</v>
          </cell>
          <cell r="C1587" t="str">
            <v>Lower Ladder</v>
          </cell>
          <cell r="V1587" t="str">
            <v>下端爬梯 H1500</v>
          </cell>
        </row>
        <row r="1588">
          <cell r="B1588" t="str">
            <v>电缆组合</v>
          </cell>
          <cell r="C1588" t="str">
            <v>Cables Assy</v>
          </cell>
          <cell r="V1588" t="str">
            <v>电缆组合 Apply for</v>
          </cell>
        </row>
        <row r="1589">
          <cell r="B1589" t="str">
            <v>电缆组合</v>
          </cell>
          <cell r="C1589" t="str">
            <v>Cables Assy</v>
          </cell>
          <cell r="V1589" t="str">
            <v>电缆组合 Earthquake Function</v>
          </cell>
        </row>
        <row r="1590">
          <cell r="B1590" t="str">
            <v>地震功能附件</v>
          </cell>
          <cell r="C1590" t="str">
            <v>Earthquake Function Accessories</v>
          </cell>
          <cell r="V1590" t="str">
            <v>地震功能附件 Control System Type</v>
          </cell>
        </row>
        <row r="1591">
          <cell r="B1591" t="str">
            <v>地震功能附件</v>
          </cell>
          <cell r="C1591" t="str">
            <v>Earthquake Function Accessories</v>
          </cell>
          <cell r="V1591" t="str">
            <v>地震功能附件 MC2</v>
          </cell>
        </row>
        <row r="1592">
          <cell r="B1592" t="str">
            <v>预开门功能附件</v>
          </cell>
          <cell r="C1592" t="str">
            <v>Pre-Opening Function Accessories</v>
          </cell>
          <cell r="V1592" t="str">
            <v>预开门功能附件 Control System Type</v>
          </cell>
        </row>
        <row r="1593">
          <cell r="B1593" t="str">
            <v>预开门功能附件</v>
          </cell>
          <cell r="C1593" t="str">
            <v>Pre-Opening Function Accessories</v>
          </cell>
          <cell r="V1593" t="str">
            <v>预开门功能附件 TCM-MC2</v>
          </cell>
        </row>
        <row r="1594">
          <cell r="B1594" t="str">
            <v>高峰运行功能附件</v>
          </cell>
          <cell r="C1594" t="str">
            <v>Peak Service Function Accessories</v>
          </cell>
          <cell r="V1594" t="str">
            <v>高峰运行功能附件 Control System Type</v>
          </cell>
        </row>
        <row r="1595">
          <cell r="B1595" t="str">
            <v>高峰运行功能附件</v>
          </cell>
          <cell r="C1595" t="str">
            <v>Peak Service Function Accessories</v>
          </cell>
          <cell r="V1595" t="str">
            <v>高峰运行功能附件 TCM-MC2</v>
          </cell>
        </row>
        <row r="1596">
          <cell r="B1596" t="str">
            <v>自动救援装置功能附件</v>
          </cell>
          <cell r="C1596" t="str">
            <v>ARD Function Accessories</v>
          </cell>
          <cell r="V1596" t="str">
            <v>自动救援装置功能附件 Control System Type</v>
          </cell>
        </row>
        <row r="1597">
          <cell r="B1597" t="str">
            <v>自动救援装置功能附件</v>
          </cell>
          <cell r="C1597" t="str">
            <v>ARD Function Accessories</v>
          </cell>
          <cell r="V1597" t="str">
            <v>自动救援装置功能附件 MC2</v>
          </cell>
        </row>
        <row r="1598">
          <cell r="B1598" t="str">
            <v>BAS接口功能附件</v>
          </cell>
          <cell r="C1598" t="str">
            <v>BAS Interface Function Accessories</v>
          </cell>
          <cell r="V1598" t="str">
            <v>BAS接口功能附件 Control System Type</v>
          </cell>
        </row>
        <row r="1599">
          <cell r="B1599" t="str">
            <v>BAS接口功能附件</v>
          </cell>
          <cell r="C1599" t="str">
            <v>BAS Interface Function Accessories</v>
          </cell>
          <cell r="V1599" t="str">
            <v>BAS接口功能附件 MC2</v>
          </cell>
        </row>
        <row r="1600">
          <cell r="B1600" t="str">
            <v>应急灯连接板</v>
          </cell>
          <cell r="C1600" t="str">
            <v>Connection Plate of the Emergency Lamp</v>
          </cell>
          <cell r="V1600" t="str">
            <v xml:space="preserve">应急灯连接板 </v>
          </cell>
        </row>
        <row r="1601">
          <cell r="B1601" t="str">
            <v>应急灯连接板</v>
          </cell>
          <cell r="C1601" t="str">
            <v>Connection Plate of the Emergency Lamp</v>
          </cell>
          <cell r="V1601" t="str">
            <v xml:space="preserve">应急灯连接板 </v>
          </cell>
        </row>
        <row r="1602">
          <cell r="B1602" t="str">
            <v>中继器电源电缆</v>
          </cell>
          <cell r="C1602" t="str">
            <v>Can-Bus Amplifier P/Cable</v>
          </cell>
          <cell r="V1602" t="str">
            <v xml:space="preserve">中继器电源电缆 </v>
          </cell>
        </row>
        <row r="1603">
          <cell r="B1603" t="str">
            <v>中继器电源电缆</v>
          </cell>
          <cell r="C1603" t="str">
            <v>Can-Bus Amplifier P/Cable</v>
          </cell>
          <cell r="V1603" t="str">
            <v xml:space="preserve">中继器电源电缆 </v>
          </cell>
        </row>
        <row r="1604">
          <cell r="B1604" t="str">
            <v>井道照明灯</v>
          </cell>
          <cell r="C1604" t="str">
            <v>Shaft Lighting Lamp</v>
          </cell>
          <cell r="V1604" t="str">
            <v xml:space="preserve">井道照明灯 </v>
          </cell>
        </row>
        <row r="1605">
          <cell r="B1605" t="str">
            <v>井道照明灯</v>
          </cell>
          <cell r="C1605" t="str">
            <v>Shaft Lighting Lamp</v>
          </cell>
          <cell r="V1605" t="str">
            <v xml:space="preserve">井道照明灯 </v>
          </cell>
        </row>
        <row r="1606">
          <cell r="B1606" t="str">
            <v>中继器安装盒</v>
          </cell>
          <cell r="C1606" t="str">
            <v xml:space="preserve">Can-Bus Amplifier Fixing Box   </v>
          </cell>
          <cell r="V1606" t="str">
            <v>中继器安装盒 Power</v>
          </cell>
        </row>
        <row r="1607">
          <cell r="B1607" t="str">
            <v>中继器安装盒</v>
          </cell>
          <cell r="C1607" t="str">
            <v xml:space="preserve">Can-Bus Amplifier Fixing Box   </v>
          </cell>
          <cell r="V1607" t="str">
            <v>中继器安装盒 Power/Y</v>
          </cell>
        </row>
        <row r="1608">
          <cell r="B1608" t="str">
            <v>鞍形弹性垫圈</v>
          </cell>
          <cell r="C1608" t="str">
            <v>Curved Spring Washer</v>
          </cell>
          <cell r="V1608" t="str">
            <v>鞍形弹性垫圈 Spec.-Standard Code</v>
          </cell>
        </row>
        <row r="1609">
          <cell r="B1609" t="str">
            <v>鞍形弹性垫圈</v>
          </cell>
          <cell r="C1609" t="str">
            <v>Curved Spring Washer</v>
          </cell>
          <cell r="V1609" t="str">
            <v>鞍形弹性垫圈 12 GB/T860</v>
          </cell>
        </row>
        <row r="1610">
          <cell r="B1610" t="str">
            <v>半圆头铆钉</v>
          </cell>
          <cell r="C1610" t="str">
            <v>Round Head Rivet</v>
          </cell>
          <cell r="V1610" t="str">
            <v>半圆头铆钉 Spec.-Standard Code</v>
          </cell>
        </row>
        <row r="1611">
          <cell r="B1611" t="str">
            <v>半圆头铆钉</v>
          </cell>
          <cell r="C1611" t="str">
            <v>Round Head Rivet</v>
          </cell>
          <cell r="V1611" t="str">
            <v>半圆头铆钉 6*16 GB/T867</v>
          </cell>
        </row>
        <row r="1612">
          <cell r="B1612" t="str">
            <v>标牌铆钉</v>
          </cell>
          <cell r="C1612" t="str">
            <v>Rivet for Name Plate</v>
          </cell>
          <cell r="V1612" t="str">
            <v>标牌铆钉 Spec.-Standard Code</v>
          </cell>
        </row>
        <row r="1613">
          <cell r="B1613" t="str">
            <v>标牌铆钉</v>
          </cell>
          <cell r="C1613" t="str">
            <v>Rivet for Name Plate</v>
          </cell>
          <cell r="V1613" t="str">
            <v>标牌铆钉 3*10 GB/T827</v>
          </cell>
        </row>
        <row r="1614">
          <cell r="B1614" t="str">
            <v>唇形密封圈</v>
          </cell>
          <cell r="C1614" t="str">
            <v>Lip Type Seal</v>
          </cell>
          <cell r="V1614" t="str">
            <v>唇形密封圈 Type Code-Spec.
d×D×b(mm)-Material Code-Manufactrurer/Standard Code</v>
          </cell>
        </row>
        <row r="1615">
          <cell r="B1615" t="str">
            <v>唇形密封圈</v>
          </cell>
          <cell r="C1615" t="str">
            <v>Lip Type Seal</v>
          </cell>
          <cell r="V1615" t="str">
            <v xml:space="preserve">唇形密封圈 B 80×110×10 NBR GB/T9877 </v>
          </cell>
        </row>
        <row r="1616">
          <cell r="B1616" t="str">
            <v>唇形密封圈</v>
          </cell>
          <cell r="C1616" t="str">
            <v>Lip Type Seal</v>
          </cell>
          <cell r="V1616" t="str">
            <v xml:space="preserve">唇形密封圈 TC 80×110×10/AE4063F0 NBR NOK </v>
          </cell>
        </row>
        <row r="1617">
          <cell r="B1617" t="str">
            <v>碟形螺母</v>
          </cell>
          <cell r="C1617" t="str">
            <v>Wing Nut</v>
          </cell>
          <cell r="V1617" t="str">
            <v>碟形螺母 Spec.-Standard Code</v>
          </cell>
        </row>
        <row r="1618">
          <cell r="B1618" t="str">
            <v>碟形螺母</v>
          </cell>
          <cell r="C1618" t="str">
            <v>Wing Nut</v>
          </cell>
          <cell r="V1618" t="str">
            <v>碟形螺母 M6 GB/T62</v>
          </cell>
        </row>
        <row r="1619">
          <cell r="B1619" t="str">
            <v>自动救援装置电源</v>
          </cell>
          <cell r="C1619" t="str">
            <v>ARD Power</v>
          </cell>
          <cell r="V1619" t="str">
            <v>自动救援装置电源 Spec</v>
          </cell>
        </row>
        <row r="1620">
          <cell r="B1620" t="str">
            <v>自动救援装置电源</v>
          </cell>
          <cell r="C1620" t="str">
            <v>ARD Power</v>
          </cell>
          <cell r="V1620" t="str">
            <v>自动救援装置电源 12V/12Ah</v>
          </cell>
        </row>
        <row r="1621">
          <cell r="B1621" t="str">
            <v>索具螺旋扣</v>
          </cell>
          <cell r="C1621" t="str">
            <v>Turnbuckle for Rigging</v>
          </cell>
          <cell r="V1621" t="str">
            <v>索具螺旋扣 Spec-Standard Code</v>
          </cell>
        </row>
        <row r="1622">
          <cell r="B1622" t="str">
            <v>索具螺旋扣</v>
          </cell>
          <cell r="C1622" t="str">
            <v>Turnbuckle for Rigging</v>
          </cell>
          <cell r="V1622" t="str">
            <v>索具螺旋扣 KOUH39-M CB/T3818</v>
          </cell>
        </row>
        <row r="1623">
          <cell r="B1623" t="str">
            <v>操纵箱铭牌</v>
          </cell>
          <cell r="C1623" t="str">
            <v>COP Nameplate</v>
          </cell>
          <cell r="V1623" t="str">
            <v>操纵箱铭牌 Language</v>
          </cell>
        </row>
        <row r="1624">
          <cell r="B1624" t="str">
            <v>操纵箱铭牌</v>
          </cell>
          <cell r="C1624" t="str">
            <v>COP Nameplate</v>
          </cell>
          <cell r="V1624" t="str">
            <v>操纵箱铭牌 EN</v>
          </cell>
        </row>
        <row r="1625">
          <cell r="B1625" t="str">
            <v>关门限位装置</v>
          </cell>
          <cell r="C1625" t="str">
            <v>Door Closing Limit Device</v>
          </cell>
          <cell r="V1625" t="str">
            <v xml:space="preserve">关门限位装置 </v>
          </cell>
        </row>
        <row r="1626">
          <cell r="B1626" t="str">
            <v>关门限位装置</v>
          </cell>
          <cell r="C1626" t="str">
            <v>Door Closing Limit Device</v>
          </cell>
          <cell r="V1626" t="str">
            <v xml:space="preserve">关门限位装置 </v>
          </cell>
        </row>
        <row r="1627">
          <cell r="B1627" t="str">
            <v>挡块组件</v>
          </cell>
          <cell r="C1627" t="str">
            <v>Baffle Block Assy</v>
          </cell>
          <cell r="V1627" t="str">
            <v xml:space="preserve">挡块组件 </v>
          </cell>
        </row>
        <row r="1628">
          <cell r="B1628" t="str">
            <v>挡块组件</v>
          </cell>
          <cell r="C1628" t="str">
            <v>Baffle Block Assy</v>
          </cell>
          <cell r="V1628" t="str">
            <v xml:space="preserve">挡块组件 </v>
          </cell>
        </row>
        <row r="1629">
          <cell r="B1629" t="str">
            <v>门触点插头</v>
          </cell>
          <cell r="C1629" t="str">
            <v>Door Contact Plug</v>
          </cell>
          <cell r="V1629" t="str">
            <v xml:space="preserve">门触点插头 </v>
          </cell>
        </row>
        <row r="1630">
          <cell r="B1630" t="str">
            <v>门触点插头</v>
          </cell>
          <cell r="C1630" t="str">
            <v>Door Contact Plug</v>
          </cell>
          <cell r="V1630" t="str">
            <v xml:space="preserve">门触点插头 </v>
          </cell>
        </row>
        <row r="1631">
          <cell r="B1631" t="str">
            <v>挂门轮</v>
          </cell>
          <cell r="C1631" t="str">
            <v>Door Hanging Pulley</v>
          </cell>
          <cell r="V1631" t="str">
            <v xml:space="preserve">挂门轮 </v>
          </cell>
        </row>
        <row r="1632">
          <cell r="B1632" t="str">
            <v>挂门轮</v>
          </cell>
          <cell r="C1632" t="str">
            <v>Door Hanging Pulley</v>
          </cell>
          <cell r="V1632" t="str">
            <v xml:space="preserve">挂门轮 </v>
          </cell>
        </row>
        <row r="1633">
          <cell r="B1633" t="str">
            <v>偏心轮</v>
          </cell>
          <cell r="C1633" t="str">
            <v>Eccentric Wheel</v>
          </cell>
          <cell r="V1633" t="str">
            <v xml:space="preserve">偏心轮 </v>
          </cell>
        </row>
        <row r="1634">
          <cell r="B1634" t="str">
            <v>偏心轮</v>
          </cell>
          <cell r="C1634" t="str">
            <v>Eccentric Wheel</v>
          </cell>
          <cell r="V1634" t="str">
            <v xml:space="preserve">偏心轮 </v>
          </cell>
        </row>
        <row r="1635">
          <cell r="B1635" t="str">
            <v>缓冲橡胶</v>
          </cell>
          <cell r="C1635" t="str">
            <v>Damping Rubber</v>
          </cell>
          <cell r="V1635" t="str">
            <v xml:space="preserve">缓冲橡胶 </v>
          </cell>
        </row>
        <row r="1636">
          <cell r="B1636" t="str">
            <v>缓冲橡胶</v>
          </cell>
          <cell r="C1636" t="str">
            <v>Damping Rubber</v>
          </cell>
          <cell r="V1636" t="str">
            <v xml:space="preserve">缓冲橡胶 </v>
          </cell>
        </row>
        <row r="1637">
          <cell r="B1637" t="str">
            <v>门传动钢丝绳</v>
          </cell>
          <cell r="C1637" t="str">
            <v>Door Actuating S. Rope</v>
          </cell>
          <cell r="V1637" t="str">
            <v>门传动钢丝绳 Door Type-Door Clear Opening Width(mm)-Length(mm)</v>
          </cell>
        </row>
        <row r="1638">
          <cell r="B1638" t="str">
            <v>门传动钢丝绳</v>
          </cell>
          <cell r="C1638" t="str">
            <v>Door Actuating S. Rope</v>
          </cell>
          <cell r="V1638" t="str">
            <v>门传动钢丝绳 S200 DW800 L3180</v>
          </cell>
        </row>
        <row r="1639">
          <cell r="B1639" t="str">
            <v>门触点插座</v>
          </cell>
          <cell r="C1639" t="str">
            <v>Door Contact Socket</v>
          </cell>
          <cell r="V1639" t="str">
            <v xml:space="preserve">门触点插座 </v>
          </cell>
        </row>
        <row r="1640">
          <cell r="B1640" t="str">
            <v>门触点插座</v>
          </cell>
          <cell r="C1640" t="str">
            <v>Door Contact Socket</v>
          </cell>
          <cell r="V1640" t="str">
            <v xml:space="preserve">门触点插座 </v>
          </cell>
        </row>
        <row r="1641">
          <cell r="B1641" t="str">
            <v>厅门门锁装置</v>
          </cell>
          <cell r="C1641" t="str">
            <v>L/Door Lock Device</v>
          </cell>
          <cell r="V1641" t="str">
            <v xml:space="preserve">厅门门锁装置 </v>
          </cell>
        </row>
        <row r="1642">
          <cell r="B1642" t="str">
            <v>厅门门锁装置</v>
          </cell>
          <cell r="C1642" t="str">
            <v>L/Door Lock Device</v>
          </cell>
          <cell r="V1642" t="str">
            <v xml:space="preserve">厅门门锁装置 </v>
          </cell>
        </row>
        <row r="1643">
          <cell r="B1643" t="str">
            <v>厅门锁钩组件</v>
          </cell>
          <cell r="C1643" t="str">
            <v>L/Door Latch Hook Assy</v>
          </cell>
          <cell r="V1643" t="str">
            <v xml:space="preserve">厅门锁钩组件 </v>
          </cell>
        </row>
        <row r="1644">
          <cell r="B1644" t="str">
            <v>厅门锁钩组件</v>
          </cell>
          <cell r="C1644" t="str">
            <v>L/Door Latch Hook Assy</v>
          </cell>
          <cell r="V1644" t="str">
            <v xml:space="preserve">厅门锁钩组件 </v>
          </cell>
        </row>
        <row r="1645">
          <cell r="B1645" t="str">
            <v>厅门锁钩</v>
          </cell>
          <cell r="C1645" t="str">
            <v xml:space="preserve">L/Door Latch Hook </v>
          </cell>
          <cell r="V1645" t="str">
            <v xml:space="preserve">厅门锁钩 </v>
          </cell>
        </row>
        <row r="1646">
          <cell r="B1646" t="str">
            <v>厅门锁钩</v>
          </cell>
          <cell r="C1646" t="str">
            <v xml:space="preserve">L/Door Latch Hook </v>
          </cell>
          <cell r="V1646" t="str">
            <v xml:space="preserve">厅门锁钩 </v>
          </cell>
        </row>
        <row r="1647">
          <cell r="B1647" t="str">
            <v>厅门门锁铭牌</v>
          </cell>
          <cell r="C1647" t="str">
            <v>L/Door Lock Nameplate</v>
          </cell>
          <cell r="V1647" t="str">
            <v>厅门门锁铭牌 Language</v>
          </cell>
        </row>
        <row r="1648">
          <cell r="B1648" t="str">
            <v>厅门门锁铭牌</v>
          </cell>
          <cell r="C1648" t="str">
            <v>L/Door Lock Nameplate</v>
          </cell>
          <cell r="V1648" t="str">
            <v>厅门门锁铭牌 EN</v>
          </cell>
        </row>
        <row r="1649">
          <cell r="B1649" t="str">
            <v>滚轮</v>
          </cell>
          <cell r="C1649" t="str">
            <v xml:space="preserve">Idler Wheel </v>
          </cell>
          <cell r="V1649" t="str">
            <v>滚轮 Dia.(mm)</v>
          </cell>
        </row>
        <row r="1650">
          <cell r="B1650" t="str">
            <v>滚轮</v>
          </cell>
          <cell r="C1650" t="str">
            <v xml:space="preserve">Idler Wheel </v>
          </cell>
          <cell r="V1650" t="str">
            <v>滚轮 D260</v>
          </cell>
        </row>
        <row r="1651">
          <cell r="B1651" t="str">
            <v>门导轨</v>
          </cell>
          <cell r="C1651" t="str">
            <v>Door Guide Rail</v>
          </cell>
          <cell r="V1651" t="str">
            <v xml:space="preserve">门导轨 </v>
          </cell>
        </row>
        <row r="1652">
          <cell r="B1652" t="str">
            <v>门导轨</v>
          </cell>
          <cell r="C1652" t="str">
            <v>Door Guide Rail</v>
          </cell>
          <cell r="V1652" t="str">
            <v xml:space="preserve">门导轨 </v>
          </cell>
        </row>
        <row r="1653">
          <cell r="B1653" t="str">
            <v>门触点开关组件</v>
          </cell>
          <cell r="C1653" t="str">
            <v>Door Contact Switch Assy</v>
          </cell>
          <cell r="V1653" t="str">
            <v>门触点开关组件 Type</v>
          </cell>
        </row>
        <row r="1654">
          <cell r="B1654" t="str">
            <v>门触点开关组件</v>
          </cell>
          <cell r="C1654" t="str">
            <v>Door Contact Switch Assy</v>
          </cell>
          <cell r="V1654" t="str">
            <v xml:space="preserve">门触点开关组件 </v>
          </cell>
        </row>
        <row r="1655">
          <cell r="B1655" t="str">
            <v>门触点插座组件</v>
          </cell>
          <cell r="C1655" t="str">
            <v>Door Contact Socket Assy</v>
          </cell>
          <cell r="V1655" t="str">
            <v>门触点插座组件 Type</v>
          </cell>
        </row>
        <row r="1656">
          <cell r="B1656" t="str">
            <v>门触点插座组件</v>
          </cell>
          <cell r="C1656" t="str">
            <v>Door Contact Socket Assy</v>
          </cell>
          <cell r="V1656" t="str">
            <v xml:space="preserve">门触点插座组件 </v>
          </cell>
        </row>
        <row r="1657">
          <cell r="B1657" t="str">
            <v>滚轮和底板组件</v>
          </cell>
          <cell r="C1657" t="str">
            <v>Idler Wheel and Soleplate Assy</v>
          </cell>
          <cell r="V1657" t="str">
            <v xml:space="preserve">滚轮和底板组件 </v>
          </cell>
        </row>
        <row r="1658">
          <cell r="B1658" t="str">
            <v>滚轮和底板组件</v>
          </cell>
          <cell r="C1658" t="str">
            <v>Idler Wheel and Soleplate Assy</v>
          </cell>
          <cell r="V1658" t="str">
            <v xml:space="preserve">滚轮和底板组件 </v>
          </cell>
        </row>
        <row r="1659">
          <cell r="B1659" t="str">
            <v>联轴器</v>
          </cell>
          <cell r="C1659" t="str">
            <v>Coupling</v>
          </cell>
          <cell r="V1659" t="str">
            <v>联轴器 Type</v>
          </cell>
        </row>
        <row r="1660">
          <cell r="B1660" t="str">
            <v>联轴器</v>
          </cell>
          <cell r="C1660" t="str">
            <v>Coupling</v>
          </cell>
          <cell r="V1660" t="str">
            <v>联轴器 LY8-25/25-8/6-D</v>
          </cell>
        </row>
        <row r="1661">
          <cell r="B1661" t="str">
            <v>前端外压盖组件</v>
          </cell>
          <cell r="C1661" t="str">
            <v>Front-End Outer Gland Assy</v>
          </cell>
          <cell r="V1661" t="str">
            <v>前端外压盖组件 Apply for-Material</v>
          </cell>
        </row>
        <row r="1662">
          <cell r="B1662" t="str">
            <v>前端外压盖组件</v>
          </cell>
          <cell r="C1662" t="str">
            <v>Front-End Outer Gland Assy</v>
          </cell>
          <cell r="V1662" t="str">
            <v>前端外压盖组件 PMS280 HT</v>
          </cell>
        </row>
        <row r="1663">
          <cell r="B1663" t="str">
            <v>密封垫</v>
          </cell>
          <cell r="C1663" t="str">
            <v>Gasket</v>
          </cell>
          <cell r="V1663" t="str">
            <v>密封垫 Material</v>
          </cell>
        </row>
        <row r="1664">
          <cell r="B1664" t="str">
            <v>密封垫</v>
          </cell>
          <cell r="C1664" t="str">
            <v>Gasket</v>
          </cell>
          <cell r="V1664" t="str">
            <v>密封垫 Felt</v>
          </cell>
        </row>
        <row r="1665">
          <cell r="B1665" t="str">
            <v>制动器防护罩</v>
          </cell>
          <cell r="C1665" t="str">
            <v>Brake Cover</v>
          </cell>
          <cell r="V1665" t="str">
            <v xml:space="preserve">制动器防护罩 </v>
          </cell>
        </row>
        <row r="1666">
          <cell r="B1666" t="str">
            <v>制动器防护罩</v>
          </cell>
          <cell r="C1666" t="str">
            <v>Brake Cover</v>
          </cell>
          <cell r="V1666" t="str">
            <v xml:space="preserve">制动器防护罩 </v>
          </cell>
        </row>
        <row r="1667">
          <cell r="B1667" t="str">
            <v>绝缘纸</v>
          </cell>
          <cell r="C1667" t="str">
            <v>Insulation Paper</v>
          </cell>
          <cell r="V1667" t="str">
            <v>绝缘纸 Material</v>
          </cell>
        </row>
        <row r="1668">
          <cell r="B1668" t="str">
            <v>绝缘纸</v>
          </cell>
          <cell r="C1668" t="str">
            <v>Insulation Paper</v>
          </cell>
          <cell r="V1668" t="str">
            <v>绝缘纸 0.36NMN/NPN</v>
          </cell>
        </row>
        <row r="1669">
          <cell r="B1669" t="str">
            <v>包装箱</v>
          </cell>
          <cell r="C1669" t="str">
            <v>Packing Box</v>
          </cell>
          <cell r="V1669" t="str">
            <v>包装箱 Box NO.-Apply for</v>
          </cell>
        </row>
        <row r="1670">
          <cell r="B1670" t="str">
            <v>包装箱</v>
          </cell>
          <cell r="C1670" t="str">
            <v>Packing Box</v>
          </cell>
          <cell r="V1670" t="str">
            <v>包装箱 3# Evo1</v>
          </cell>
        </row>
        <row r="1671">
          <cell r="B1671" t="str">
            <v>曳引机包装箱</v>
          </cell>
          <cell r="C1671" t="str">
            <v>T/M PKG</v>
          </cell>
          <cell r="V1671" t="str">
            <v>曳引机包装箱 T/M Type-Pulley Dia.(mm)-Groove angle-T/M Power-Box Material</v>
          </cell>
        </row>
        <row r="1672">
          <cell r="B1672" t="str">
            <v>曳引机包装箱</v>
          </cell>
          <cell r="C1672" t="str">
            <v>T/M PKG</v>
          </cell>
          <cell r="V1672" t="str">
            <v>曳引机包装箱 SC300S003 D420 U45°29° 16kW WD</v>
          </cell>
        </row>
        <row r="1673">
          <cell r="B1673" t="str">
            <v>曳引机包装箱</v>
          </cell>
          <cell r="C1673" t="str">
            <v>T/M PKG</v>
          </cell>
          <cell r="V1673" t="str">
            <v>曳引机包装箱 PMS280.02-5.6 D420 V45°92° CTN</v>
          </cell>
        </row>
        <row r="1674">
          <cell r="B1674" t="str">
            <v>电源电缆接线盒</v>
          </cell>
          <cell r="C1674" t="str">
            <v>P/Cable Junction Box</v>
          </cell>
          <cell r="V1674" t="str">
            <v xml:space="preserve">电源电缆接线盒 </v>
          </cell>
        </row>
        <row r="1675">
          <cell r="B1675" t="str">
            <v>电源电缆接线盒</v>
          </cell>
          <cell r="C1675" t="str">
            <v>P/Cable Junction Box</v>
          </cell>
          <cell r="V1675" t="str">
            <v xml:space="preserve">电源电缆接线盒 </v>
          </cell>
        </row>
        <row r="1676">
          <cell r="B1676" t="str">
            <v>吸油毛毡</v>
          </cell>
          <cell r="C1676" t="str">
            <v xml:space="preserve">Oil Absorption Felt </v>
          </cell>
          <cell r="V1676" t="str">
            <v xml:space="preserve">吸油毛毡 </v>
          </cell>
        </row>
        <row r="1677">
          <cell r="B1677" t="str">
            <v>吸油毛毡</v>
          </cell>
          <cell r="C1677" t="str">
            <v xml:space="preserve">Oil Absorption Felt </v>
          </cell>
          <cell r="V1677" t="str">
            <v xml:space="preserve">吸油毛毡 </v>
          </cell>
        </row>
        <row r="1678">
          <cell r="B1678" t="str">
            <v>前端盖组件</v>
          </cell>
          <cell r="C1678" t="str">
            <v>Front-End Shield Assy</v>
          </cell>
          <cell r="V1678" t="str">
            <v xml:space="preserve">前端盖组件 </v>
          </cell>
        </row>
        <row r="1679">
          <cell r="B1679" t="str">
            <v>前端盖组件</v>
          </cell>
          <cell r="C1679" t="str">
            <v>Front-End Shield Assy</v>
          </cell>
          <cell r="V1679" t="str">
            <v xml:space="preserve">前端盖组件 </v>
          </cell>
        </row>
        <row r="1680">
          <cell r="B1680" t="str">
            <v>后端盖组件</v>
          </cell>
          <cell r="C1680" t="str">
            <v xml:space="preserve">Back-End Shield Assy </v>
          </cell>
          <cell r="V1680" t="str">
            <v xml:space="preserve">后端盖组件 </v>
          </cell>
        </row>
        <row r="1681">
          <cell r="B1681" t="str">
            <v>后端盖组件</v>
          </cell>
          <cell r="C1681" t="str">
            <v xml:space="preserve">Back-End Shield Assy </v>
          </cell>
          <cell r="V1681" t="str">
            <v xml:space="preserve">后端盖组件 </v>
          </cell>
        </row>
        <row r="1682">
          <cell r="B1682" t="str">
            <v>环氧树脂</v>
          </cell>
          <cell r="C1682" t="str">
            <v>Epoxy Resin</v>
          </cell>
          <cell r="V1682" t="str">
            <v xml:space="preserve">环氧树脂 </v>
          </cell>
        </row>
        <row r="1683">
          <cell r="B1683" t="str">
            <v>环氧树脂</v>
          </cell>
          <cell r="C1683" t="str">
            <v>Epoxy Resin</v>
          </cell>
          <cell r="V1683" t="str">
            <v xml:space="preserve">环氧树脂 </v>
          </cell>
        </row>
        <row r="1684">
          <cell r="B1684" t="str">
            <v>线盒盖组件</v>
          </cell>
          <cell r="C1684" t="str">
            <v>Box Cover Assy</v>
          </cell>
          <cell r="V1684" t="str">
            <v xml:space="preserve">线盒盖组件 </v>
          </cell>
        </row>
        <row r="1685">
          <cell r="B1685" t="str">
            <v>线盒盖组件</v>
          </cell>
          <cell r="C1685" t="str">
            <v>Box Cover Assy</v>
          </cell>
          <cell r="V1685" t="str">
            <v xml:space="preserve">线盒盖组件 </v>
          </cell>
        </row>
        <row r="1686">
          <cell r="B1686" t="str">
            <v>地震传感器</v>
          </cell>
          <cell r="C1686" t="str">
            <v>Seismic Sensor</v>
          </cell>
          <cell r="V1686" t="str">
            <v>地震传感器 Type</v>
          </cell>
        </row>
        <row r="1687">
          <cell r="B1687" t="str">
            <v>地震传感器</v>
          </cell>
          <cell r="C1687" t="str">
            <v>Seismic Sensor</v>
          </cell>
          <cell r="V1687" t="str">
            <v>地震传感器 OP-04</v>
          </cell>
        </row>
        <row r="1688">
          <cell r="B1688" t="str">
            <v>门机调试仪</v>
          </cell>
          <cell r="C1688" t="str">
            <v>Door Operator Diagnostic</v>
          </cell>
          <cell r="V1688" t="str">
            <v>门机调试仪 Type</v>
          </cell>
        </row>
        <row r="1689">
          <cell r="B1689" t="str">
            <v>门机调试仪</v>
          </cell>
          <cell r="C1689" t="str">
            <v>Door Operator Diagnostic</v>
          </cell>
          <cell r="V1689" t="str">
            <v>门机调试仪 K300</v>
          </cell>
        </row>
        <row r="1690">
          <cell r="B1690" t="str">
            <v>电抗器组件</v>
          </cell>
          <cell r="C1690" t="str">
            <v>Reactor Assy</v>
          </cell>
          <cell r="V1690" t="str">
            <v>电抗器组件 Type-Inductance-Rated Current</v>
          </cell>
        </row>
        <row r="1691">
          <cell r="B1691" t="str">
            <v>电抗器组件</v>
          </cell>
          <cell r="C1691" t="str">
            <v>Reactor Assy</v>
          </cell>
          <cell r="V1691" t="str">
            <v>电抗器组件 HL-40A 1400 1.4mH 40A</v>
          </cell>
        </row>
        <row r="1692">
          <cell r="B1692" t="str">
            <v>电抗器组件</v>
          </cell>
          <cell r="C1692" t="str">
            <v>Reactor Assy</v>
          </cell>
          <cell r="V1692" t="str">
            <v>电抗器组件 ACL16A 1200 3*1.2mH 24A</v>
          </cell>
        </row>
        <row r="1693">
          <cell r="B1693" t="str">
            <v>制动器电源电缆</v>
          </cell>
          <cell r="C1693" t="str">
            <v>Brake P/Cable</v>
          </cell>
          <cell r="V1693" t="str">
            <v xml:space="preserve">制动器电源电缆 </v>
          </cell>
        </row>
        <row r="1694">
          <cell r="B1694" t="str">
            <v>制动器电源电缆</v>
          </cell>
          <cell r="C1694" t="str">
            <v>Brake P/Cable</v>
          </cell>
          <cell r="V1694" t="str">
            <v xml:space="preserve">制动器电源电缆 </v>
          </cell>
        </row>
        <row r="1695">
          <cell r="B1695" t="str">
            <v>厅门锁连接电缆</v>
          </cell>
          <cell r="C1695" t="str">
            <v>L/Door Lock Connection Cable</v>
          </cell>
          <cell r="V1695" t="str">
            <v xml:space="preserve">厅门锁连接电缆 </v>
          </cell>
        </row>
        <row r="1696">
          <cell r="B1696" t="str">
            <v>厅门锁连接电缆</v>
          </cell>
          <cell r="C1696" t="str">
            <v>L/Door Lock Connection Cable</v>
          </cell>
          <cell r="V1696" t="str">
            <v xml:space="preserve">厅门锁连接电缆 </v>
          </cell>
        </row>
        <row r="1697">
          <cell r="B1697" t="str">
            <v>井道安全门</v>
          </cell>
          <cell r="C1697" t="str">
            <v>Shaft Emergency Door</v>
          </cell>
          <cell r="V1697" t="str">
            <v xml:space="preserve">井道安全门 </v>
          </cell>
        </row>
        <row r="1698">
          <cell r="B1698" t="str">
            <v>井道安全门</v>
          </cell>
          <cell r="C1698" t="str">
            <v>Shaft Emergency Door</v>
          </cell>
          <cell r="V1698" t="str">
            <v xml:space="preserve">井道安全门 </v>
          </cell>
        </row>
        <row r="1699">
          <cell r="B1699" t="str">
            <v>井道安全门电缆分支</v>
          </cell>
          <cell r="C1699" t="str">
            <v>Shaft Emergency Door Cable Branch</v>
          </cell>
          <cell r="V1699" t="str">
            <v xml:space="preserve">井道安全门电缆分支 </v>
          </cell>
        </row>
        <row r="1700">
          <cell r="B1700" t="str">
            <v>井道安全门电缆分支</v>
          </cell>
          <cell r="C1700" t="str">
            <v>Shaft Emergency Door Cable Branch</v>
          </cell>
          <cell r="V1700" t="str">
            <v xml:space="preserve">井道安全门电缆分支 </v>
          </cell>
        </row>
        <row r="1701">
          <cell r="B1701" t="str">
            <v>井道安全门电缆</v>
          </cell>
          <cell r="C1701" t="str">
            <v>Shaft Emergency Door Cable</v>
          </cell>
          <cell r="V1701" t="str">
            <v xml:space="preserve">井道安全门电缆 </v>
          </cell>
        </row>
        <row r="1702">
          <cell r="B1702" t="str">
            <v>井道安全门电缆</v>
          </cell>
          <cell r="C1702" t="str">
            <v>Shaft Emergency Door Cable</v>
          </cell>
          <cell r="V1702" t="str">
            <v xml:space="preserve">井道安全门电缆 </v>
          </cell>
        </row>
        <row r="1703">
          <cell r="B1703" t="str">
            <v>防水接头</v>
          </cell>
          <cell r="C1703" t="str">
            <v>Waterproof Disconnect</v>
          </cell>
          <cell r="V1703" t="str">
            <v>防水接头 Type</v>
          </cell>
        </row>
        <row r="1704">
          <cell r="B1704" t="str">
            <v>防水接头</v>
          </cell>
          <cell r="C1704" t="str">
            <v>Waterproof Disconnect</v>
          </cell>
          <cell r="V1704" t="str">
            <v>防水接头 HSK-UL-M16X1.5</v>
          </cell>
        </row>
        <row r="1705">
          <cell r="B1705" t="str">
            <v>并联通讯电缆</v>
          </cell>
          <cell r="C1705" t="str">
            <v>Parallel Communication Cable</v>
          </cell>
          <cell r="V1705" t="str">
            <v xml:space="preserve">并联通讯电缆 </v>
          </cell>
        </row>
        <row r="1706">
          <cell r="B1706" t="str">
            <v>并联通讯电缆</v>
          </cell>
          <cell r="C1706" t="str">
            <v>Parallel Communication Cable</v>
          </cell>
          <cell r="V1706" t="str">
            <v xml:space="preserve">并联通讯电缆 </v>
          </cell>
        </row>
        <row r="1707">
          <cell r="B1707" t="str">
            <v>制动器检测开关和热敏电阻电缆</v>
          </cell>
          <cell r="C1707" t="str">
            <v>Brake Detection/S and Thermistor Cable</v>
          </cell>
          <cell r="V1707" t="str">
            <v xml:space="preserve">制动器检测开关和热敏电阻电缆 </v>
          </cell>
        </row>
        <row r="1708">
          <cell r="B1708" t="str">
            <v>制动器检测开关和热敏电阻电缆</v>
          </cell>
          <cell r="C1708" t="str">
            <v>Brake Detection/S and Thermistor Cable</v>
          </cell>
          <cell r="V1708" t="str">
            <v xml:space="preserve">制动器检测开关和热敏电阻电缆 </v>
          </cell>
        </row>
        <row r="1709">
          <cell r="B1709" t="str">
            <v>外召通讯电源电缆</v>
          </cell>
          <cell r="C1709" t="str">
            <v>Landing Communication P/Cable</v>
          </cell>
          <cell r="V1709" t="str">
            <v xml:space="preserve">外召通讯电源电缆 </v>
          </cell>
        </row>
        <row r="1710">
          <cell r="B1710" t="str">
            <v>外召通讯电源电缆</v>
          </cell>
          <cell r="C1710" t="str">
            <v>Landing Communication P/Cable</v>
          </cell>
          <cell r="V1710" t="str">
            <v xml:space="preserve">外召通讯电源电缆 </v>
          </cell>
        </row>
        <row r="1711">
          <cell r="B1711" t="str">
            <v>外召通讯电源电缆分支</v>
          </cell>
          <cell r="C1711" t="str">
            <v>Landing Communication P/Cable Branch</v>
          </cell>
          <cell r="V1711" t="str">
            <v xml:space="preserve">外召通讯电源电缆分支 </v>
          </cell>
        </row>
        <row r="1712">
          <cell r="B1712" t="str">
            <v>外召通讯电源电缆分支</v>
          </cell>
          <cell r="C1712" t="str">
            <v>Landing Communication P/Cable Branch</v>
          </cell>
          <cell r="V1712" t="str">
            <v xml:space="preserve">外召通讯电源电缆分支 </v>
          </cell>
        </row>
        <row r="1713">
          <cell r="B1713" t="str">
            <v>井道上部位置开关电缆</v>
          </cell>
          <cell r="C1713" t="str">
            <v>Shaft Top Location S/Cable</v>
          </cell>
          <cell r="V1713" t="str">
            <v xml:space="preserve">井道上部位置开关电缆 </v>
          </cell>
        </row>
        <row r="1714">
          <cell r="B1714" t="str">
            <v>井道上部位置开关电缆</v>
          </cell>
          <cell r="C1714" t="str">
            <v>Shaft Top Location S/Cable</v>
          </cell>
          <cell r="V1714" t="str">
            <v xml:space="preserve">井道上部位置开关电缆 </v>
          </cell>
        </row>
        <row r="1715">
          <cell r="B1715" t="str">
            <v>井道下部位置开关电缆</v>
          </cell>
          <cell r="C1715" t="str">
            <v>Shaft Bottom Location S/Cable</v>
          </cell>
          <cell r="V1715" t="str">
            <v xml:space="preserve">井道下部位置开关电缆 </v>
          </cell>
        </row>
        <row r="1716">
          <cell r="B1716" t="str">
            <v>井道下部位置开关电缆</v>
          </cell>
          <cell r="C1716" t="str">
            <v>Shaft Bottom Location S/Cable</v>
          </cell>
          <cell r="V1716" t="str">
            <v xml:space="preserve">井道下部位置开关电缆 </v>
          </cell>
        </row>
        <row r="1717">
          <cell r="B1717" t="str">
            <v>风扇开关电缆</v>
          </cell>
          <cell r="C1717" t="str">
            <v>Fan S/Cable</v>
          </cell>
          <cell r="V1717" t="str">
            <v xml:space="preserve">风扇开关电缆 </v>
          </cell>
        </row>
        <row r="1718">
          <cell r="B1718" t="str">
            <v>风扇开关电缆</v>
          </cell>
          <cell r="C1718" t="str">
            <v>Fan S/Cable</v>
          </cell>
          <cell r="V1718" t="str">
            <v xml:space="preserve">风扇开关电缆 </v>
          </cell>
        </row>
        <row r="1719">
          <cell r="B1719" t="str">
            <v>称重装置检测开关电缆</v>
          </cell>
          <cell r="C1719" t="str">
            <v>Weighing Device Detection S/Cable</v>
          </cell>
          <cell r="V1719" t="str">
            <v xml:space="preserve">称重装置检测开关电缆 </v>
          </cell>
        </row>
        <row r="1720">
          <cell r="B1720" t="str">
            <v>称重装置检测开关电缆</v>
          </cell>
          <cell r="C1720" t="str">
            <v>Weighing Device Detection S/Cable</v>
          </cell>
          <cell r="V1720" t="str">
            <v xml:space="preserve">称重装置检测开关电缆 </v>
          </cell>
        </row>
        <row r="1721">
          <cell r="B1721" t="str">
            <v>轿顶-主COP通讯及电源电缆</v>
          </cell>
          <cell r="C1721" t="str">
            <v>Car Roof-Main COP C&amp;P Cable</v>
          </cell>
          <cell r="V1721" t="str">
            <v xml:space="preserve">轿顶-主COP通讯及电源电缆 </v>
          </cell>
        </row>
        <row r="1722">
          <cell r="B1722" t="str">
            <v>轿顶-主COP通讯及电源电缆</v>
          </cell>
          <cell r="C1722" t="str">
            <v>Car Roof-Main COP C&amp;P Cable</v>
          </cell>
          <cell r="V1722" t="str">
            <v xml:space="preserve">轿顶-主COP通讯及电源电缆 </v>
          </cell>
        </row>
        <row r="1723">
          <cell r="B1723" t="str">
            <v>应急灯控制电缆</v>
          </cell>
          <cell r="C1723" t="str">
            <v>Emergency Lamp Control Cable</v>
          </cell>
          <cell r="V1723" t="str">
            <v xml:space="preserve">应急灯控制电缆 </v>
          </cell>
        </row>
        <row r="1724">
          <cell r="B1724" t="str">
            <v>应急灯控制电缆</v>
          </cell>
          <cell r="C1724" t="str">
            <v>Emergency Lamp Control Cable</v>
          </cell>
          <cell r="V1724" t="str">
            <v xml:space="preserve">应急灯控制电缆 </v>
          </cell>
        </row>
        <row r="1725">
          <cell r="B1725" t="str">
            <v>对讲电源电缆</v>
          </cell>
          <cell r="C1725" t="str">
            <v>Intercom P/Cable</v>
          </cell>
          <cell r="V1725" t="str">
            <v xml:space="preserve">对讲电源电缆 </v>
          </cell>
        </row>
        <row r="1726">
          <cell r="B1726" t="str">
            <v>对讲电源电缆</v>
          </cell>
          <cell r="C1726" t="str">
            <v>Intercom P/Cable</v>
          </cell>
          <cell r="V1726" t="str">
            <v xml:space="preserve">对讲电源电缆 </v>
          </cell>
        </row>
        <row r="1727">
          <cell r="B1727" t="str">
            <v>对讲警铃按钮电缆</v>
          </cell>
          <cell r="C1727" t="str">
            <v>Intercom and Alarm Button Cable</v>
          </cell>
          <cell r="V1727" t="str">
            <v>对讲警铃按钮电缆  Button Type</v>
          </cell>
        </row>
        <row r="1728">
          <cell r="B1728" t="str">
            <v>对讲警铃按钮电缆</v>
          </cell>
          <cell r="C1728" t="str">
            <v>Intercom and Alarm Button Cable</v>
          </cell>
          <cell r="V1728" t="str">
            <v>对讲警铃按钮电缆 ANB4016</v>
          </cell>
        </row>
        <row r="1729">
          <cell r="B1729" t="str">
            <v>轿厢围壁</v>
          </cell>
          <cell r="C1729" t="str">
            <v>Car Casing</v>
          </cell>
          <cell r="V1729" t="str">
            <v>轿厢围壁 Car Width(mm)-Car Depth(mm)-Car Height(mm)-Open through-Panel Decoration</v>
          </cell>
        </row>
        <row r="1730">
          <cell r="B1730" t="str">
            <v>轿厢围壁</v>
          </cell>
          <cell r="C1730" t="str">
            <v>Car Casing</v>
          </cell>
          <cell r="V1730" t="str">
            <v>轿厢围壁 CW1350 CD1400 CH2400 OT SUS304/HL</v>
          </cell>
        </row>
        <row r="1731">
          <cell r="B1731" t="str">
            <v>轿壁底板组件</v>
          </cell>
          <cell r="C1731" t="str">
            <v>Car Panel Soleplate Assy</v>
          </cell>
          <cell r="V1731" t="str">
            <v xml:space="preserve">轿壁底板组件 </v>
          </cell>
        </row>
        <row r="1732">
          <cell r="B1732" t="str">
            <v>轿壁底板组件</v>
          </cell>
          <cell r="C1732" t="str">
            <v>Car Panel Soleplate Assy</v>
          </cell>
          <cell r="V1732" t="str">
            <v xml:space="preserve">轿壁底板组件 </v>
          </cell>
        </row>
        <row r="1733">
          <cell r="B1733" t="str">
            <v>防护圈</v>
          </cell>
          <cell r="C1733" t="str">
            <v>Guard Ring</v>
          </cell>
          <cell r="V1733" t="str">
            <v>防护圈 Type-Apply for</v>
          </cell>
        </row>
        <row r="1734">
          <cell r="B1734" t="str">
            <v>防护圈</v>
          </cell>
          <cell r="C1734" t="str">
            <v>Guard Ring</v>
          </cell>
          <cell r="V1734" t="str">
            <v>防护圈 KKB2-8 Button</v>
          </cell>
        </row>
        <row r="1735">
          <cell r="B1735" t="str">
            <v>司机功能组件</v>
          </cell>
          <cell r="C1735" t="str">
            <v>Attendant Function Assy</v>
          </cell>
          <cell r="V1735" t="str">
            <v xml:space="preserve">司机功能组件 </v>
          </cell>
        </row>
        <row r="1736">
          <cell r="B1736" t="str">
            <v>司机功能组件</v>
          </cell>
          <cell r="C1736" t="str">
            <v>Attendant Function Assy</v>
          </cell>
          <cell r="V1736" t="str">
            <v xml:space="preserve">司机功能组件 </v>
          </cell>
        </row>
        <row r="1737">
          <cell r="B1737" t="str">
            <v>树脂</v>
          </cell>
          <cell r="C1737" t="str">
            <v>Resin</v>
          </cell>
          <cell r="V1737" t="str">
            <v xml:space="preserve">树脂 </v>
          </cell>
        </row>
        <row r="1738">
          <cell r="B1738" t="str">
            <v>树脂</v>
          </cell>
          <cell r="C1738" t="str">
            <v>Resin</v>
          </cell>
          <cell r="V1738" t="str">
            <v xml:space="preserve">树脂 </v>
          </cell>
        </row>
        <row r="1739">
          <cell r="B1739" t="str">
            <v>硬化剂</v>
          </cell>
          <cell r="C1739" t="str">
            <v>Hardener</v>
          </cell>
          <cell r="V1739" t="str">
            <v xml:space="preserve">硬化剂 </v>
          </cell>
        </row>
        <row r="1740">
          <cell r="B1740" t="str">
            <v>硬化剂</v>
          </cell>
          <cell r="C1740" t="str">
            <v>Hardener</v>
          </cell>
          <cell r="V1740" t="str">
            <v xml:space="preserve">硬化剂 </v>
          </cell>
        </row>
        <row r="1741">
          <cell r="B1741" t="str">
            <v>防尘刷</v>
          </cell>
          <cell r="C1741" t="str">
            <v>Dustproof Brush</v>
          </cell>
          <cell r="V1741" t="str">
            <v xml:space="preserve">防尘刷 </v>
          </cell>
        </row>
        <row r="1742">
          <cell r="B1742" t="str">
            <v>防尘刷</v>
          </cell>
          <cell r="C1742" t="str">
            <v>Dustproof Brush</v>
          </cell>
          <cell r="V1742" t="str">
            <v xml:space="preserve">防尘刷 </v>
          </cell>
        </row>
        <row r="1743">
          <cell r="B1743" t="str">
            <v>触点插头</v>
          </cell>
          <cell r="C1743" t="str">
            <v>Contact Plug</v>
          </cell>
          <cell r="V1743" t="str">
            <v xml:space="preserve">触点插头 </v>
          </cell>
        </row>
        <row r="1744">
          <cell r="B1744" t="str">
            <v>触点插头</v>
          </cell>
          <cell r="C1744" t="str">
            <v>Contact Plug</v>
          </cell>
          <cell r="V1744" t="str">
            <v xml:space="preserve">触点插头 </v>
          </cell>
        </row>
        <row r="1745">
          <cell r="B1745" t="str">
            <v>触点插头组件</v>
          </cell>
          <cell r="C1745" t="str">
            <v>Contact Plug Assy</v>
          </cell>
          <cell r="V1745" t="str">
            <v xml:space="preserve">触点插头组件 </v>
          </cell>
        </row>
        <row r="1746">
          <cell r="B1746" t="str">
            <v>触点插头组件</v>
          </cell>
          <cell r="C1746" t="str">
            <v>Contact Plug Assy</v>
          </cell>
          <cell r="V1746" t="str">
            <v xml:space="preserve">触点插头组件 </v>
          </cell>
        </row>
        <row r="1747">
          <cell r="B1747" t="str">
            <v>触点开关</v>
          </cell>
          <cell r="C1747" t="str">
            <v>Contact Switch</v>
          </cell>
          <cell r="V1747" t="str">
            <v>触点开关 Type</v>
          </cell>
        </row>
        <row r="1748">
          <cell r="B1748" t="str">
            <v>触点开关</v>
          </cell>
          <cell r="C1748" t="str">
            <v>Contact Switch</v>
          </cell>
          <cell r="V1748" t="str">
            <v>触点开关 AZ 061</v>
          </cell>
        </row>
        <row r="1749">
          <cell r="B1749" t="str">
            <v>空调</v>
          </cell>
          <cell r="C1749" t="str">
            <v>Air Conditioner</v>
          </cell>
          <cell r="V1749" t="str">
            <v>空调 Type-Rated Cool Capaticy(W)-Air Out-Cooling or Heating</v>
          </cell>
        </row>
        <row r="1750">
          <cell r="B1750" t="str">
            <v>空调</v>
          </cell>
          <cell r="C1750" t="str">
            <v>Air Conditioner</v>
          </cell>
          <cell r="V1750" t="str">
            <v>空调 TKD-25Y/Q 2500W Front C/H</v>
          </cell>
        </row>
        <row r="1751">
          <cell r="B1751" t="str">
            <v>空调安装支架</v>
          </cell>
          <cell r="C1751" t="str">
            <v>Air Conditioner Fixing Bracket</v>
          </cell>
          <cell r="V1751" t="str">
            <v xml:space="preserve">空调安装支架 </v>
          </cell>
        </row>
        <row r="1752">
          <cell r="B1752" t="str">
            <v>空调安装支架</v>
          </cell>
          <cell r="C1752" t="str">
            <v>Air Conditioner Fixing Bracket</v>
          </cell>
          <cell r="V1752" t="str">
            <v xml:space="preserve">空调安装支架 </v>
          </cell>
        </row>
        <row r="1753">
          <cell r="B1753" t="str">
            <v>曳引轮防护罩开关电缆</v>
          </cell>
          <cell r="C1753" t="str">
            <v>Traction Pulley Cover S/Cable</v>
          </cell>
          <cell r="V1753" t="str">
            <v xml:space="preserve">曳引轮防护罩开关电缆 </v>
          </cell>
        </row>
        <row r="1754">
          <cell r="B1754" t="str">
            <v>曳引轮防护罩开关电缆</v>
          </cell>
          <cell r="C1754" t="str">
            <v>Traction Pulley Cover S/Cable</v>
          </cell>
          <cell r="V1754" t="str">
            <v xml:space="preserve">曳引轮防护罩开关电缆 </v>
          </cell>
        </row>
        <row r="1755">
          <cell r="B1755" t="str">
            <v>开门到位开关电缆</v>
          </cell>
          <cell r="C1755" t="str">
            <v>Door Opening Complete S/Cable</v>
          </cell>
          <cell r="V1755" t="str">
            <v>开门到位开关电缆 Stop/Floor</v>
          </cell>
        </row>
        <row r="1756">
          <cell r="B1756" t="str">
            <v>开门到位开关电缆</v>
          </cell>
          <cell r="C1756" t="str">
            <v>Door Opening Complete S/Cable</v>
          </cell>
          <cell r="V1756" t="str">
            <v>开门到位开关电缆 16S/16F</v>
          </cell>
        </row>
        <row r="1757">
          <cell r="B1757" t="str">
            <v>挂钩</v>
          </cell>
          <cell r="C1757" t="str">
            <v>Hanging Hook</v>
          </cell>
          <cell r="V1757" t="str">
            <v xml:space="preserve">挂钩 </v>
          </cell>
        </row>
        <row r="1758">
          <cell r="B1758" t="str">
            <v>挂钩</v>
          </cell>
          <cell r="C1758" t="str">
            <v>Hanging Hook</v>
          </cell>
          <cell r="V1758" t="str">
            <v xml:space="preserve">挂钩 </v>
          </cell>
        </row>
        <row r="1759">
          <cell r="B1759" t="str">
            <v>对重限速器线圈电缆</v>
          </cell>
          <cell r="C1759" t="str">
            <v>CWT Governor Coil  Cable</v>
          </cell>
          <cell r="V1759" t="str">
            <v xml:space="preserve">对重限速器线圈电缆 </v>
          </cell>
        </row>
        <row r="1760">
          <cell r="B1760" t="str">
            <v>对重限速器线圈电缆</v>
          </cell>
          <cell r="C1760" t="str">
            <v>CWT Governor Coil  Cable</v>
          </cell>
          <cell r="V1760" t="str">
            <v xml:space="preserve">对重限速器线圈电缆 </v>
          </cell>
        </row>
        <row r="1761">
          <cell r="B1761" t="str">
            <v>整体式操纵箱</v>
          </cell>
          <cell r="C1761" t="str">
            <v>Integrated COP</v>
          </cell>
          <cell r="V1761" t="str">
            <v>整体式操纵箱 Width(mm)-Door Clear Height(mm)-Floor Decoration-Button-Stop/Floor-Display Board-Optional Function-Surface Finish</v>
          </cell>
        </row>
        <row r="1762">
          <cell r="B1762" t="str">
            <v>整体式操纵箱</v>
          </cell>
          <cell r="C1762" t="str">
            <v>Integrated COP</v>
          </cell>
          <cell r="V1762" t="str">
            <v>整体式操纵箱 375 DH2100 t5 DA215 11S/11F MA9 A 304/HL</v>
          </cell>
        </row>
        <row r="1763">
          <cell r="B1763" t="str">
            <v>整体式操纵箱面板</v>
          </cell>
          <cell r="C1763" t="str">
            <v>Integrated COP Faceplate</v>
          </cell>
          <cell r="V1763" t="str">
            <v>整体式操纵箱面板 Width(mm)-Door Clear Height(mm)-Floor Decoration-Button-Stop/Floor-Display Board-Optional Function-Surface Finish</v>
          </cell>
        </row>
        <row r="1764">
          <cell r="B1764" t="str">
            <v>整体式操纵箱面板</v>
          </cell>
          <cell r="C1764" t="str">
            <v>Integrated COP Faceplate</v>
          </cell>
          <cell r="V1764" t="str">
            <v>整体式操纵箱面板 375 DH2100 t5 DA214 11S/11F MA9 A 304/HL</v>
          </cell>
        </row>
        <row r="1765">
          <cell r="B1765" t="str">
            <v>井道照明电缆</v>
          </cell>
          <cell r="C1765" t="str">
            <v>Shaft Lighting Cable</v>
          </cell>
          <cell r="V1765" t="str">
            <v xml:space="preserve">井道照明电缆 </v>
          </cell>
        </row>
        <row r="1766">
          <cell r="B1766" t="str">
            <v>井道照明电缆</v>
          </cell>
          <cell r="C1766" t="str">
            <v>Shaft Lighting Cable</v>
          </cell>
          <cell r="V1766" t="str">
            <v xml:space="preserve">井道照明电缆 </v>
          </cell>
        </row>
        <row r="1767">
          <cell r="B1767" t="str">
            <v>井道照明电缆分支</v>
          </cell>
          <cell r="C1767" t="str">
            <v>Shaft Lighting Cable Branch</v>
          </cell>
          <cell r="V1767" t="str">
            <v xml:space="preserve">井道照明电缆分支 </v>
          </cell>
        </row>
        <row r="1768">
          <cell r="B1768" t="str">
            <v>井道照明电缆分支</v>
          </cell>
          <cell r="C1768" t="str">
            <v>Shaft Lighting Cable Branch</v>
          </cell>
          <cell r="V1768" t="str">
            <v xml:space="preserve">井道照明电缆分支 </v>
          </cell>
        </row>
        <row r="1769">
          <cell r="B1769" t="str">
            <v>波纹管</v>
          </cell>
          <cell r="C1769" t="str">
            <v>Sylphon Bellows</v>
          </cell>
          <cell r="V1769" t="str">
            <v>波纹管 Inside Diameter (mm)-Spec.</v>
          </cell>
        </row>
        <row r="1770">
          <cell r="B1770" t="str">
            <v>波纹管</v>
          </cell>
          <cell r="C1770" t="str">
            <v>Sylphon Bellows</v>
          </cell>
          <cell r="V1770" t="str">
            <v>波纹管 d25 A</v>
          </cell>
        </row>
        <row r="1771">
          <cell r="B1771" t="str">
            <v>井道照明开关</v>
          </cell>
          <cell r="C1771" t="str">
            <v>Shaft Lighting Switch</v>
          </cell>
          <cell r="V1771" t="str">
            <v>井道照明开关 Type</v>
          </cell>
        </row>
        <row r="1772">
          <cell r="B1772" t="str">
            <v>井道照明开关</v>
          </cell>
          <cell r="C1772" t="str">
            <v>Shaft Lighting Switch</v>
          </cell>
          <cell r="V1772" t="str">
            <v xml:space="preserve">井道照明开关 </v>
          </cell>
        </row>
        <row r="1773">
          <cell r="B1773" t="str">
            <v>油杯盖</v>
          </cell>
          <cell r="C1773" t="str">
            <v>Oil Cup Cover</v>
          </cell>
          <cell r="V1773" t="str">
            <v xml:space="preserve">油杯盖 </v>
          </cell>
        </row>
        <row r="1774">
          <cell r="B1774" t="str">
            <v>油杯盖</v>
          </cell>
          <cell r="C1774" t="str">
            <v>Oil Cup Cover</v>
          </cell>
          <cell r="V1774" t="str">
            <v xml:space="preserve">油杯盖 </v>
          </cell>
        </row>
        <row r="1775">
          <cell r="B1775" t="str">
            <v>吸油毛毡组件</v>
          </cell>
          <cell r="C1775" t="str">
            <v>Oil Absorption Felt Assy</v>
          </cell>
          <cell r="V1775" t="str">
            <v xml:space="preserve">吸油毛毡组件 </v>
          </cell>
        </row>
        <row r="1776">
          <cell r="B1776" t="str">
            <v>吸油毛毡组件</v>
          </cell>
          <cell r="C1776" t="str">
            <v>Oil Absorption Felt Assy</v>
          </cell>
          <cell r="V1776" t="str">
            <v xml:space="preserve">吸油毛毡组件 </v>
          </cell>
        </row>
        <row r="1777">
          <cell r="B1777" t="str">
            <v>吸油条</v>
          </cell>
          <cell r="C1777" t="str">
            <v>Oil Wick</v>
          </cell>
          <cell r="V1777" t="str">
            <v xml:space="preserve">吸油条 </v>
          </cell>
        </row>
        <row r="1778">
          <cell r="B1778" t="str">
            <v>吸油条</v>
          </cell>
          <cell r="C1778" t="str">
            <v>Oil Wick</v>
          </cell>
          <cell r="V1778" t="str">
            <v xml:space="preserve">吸油条 </v>
          </cell>
        </row>
        <row r="1779">
          <cell r="B1779" t="str">
            <v>电磁兼容电缆接头</v>
          </cell>
          <cell r="C1779" t="str">
            <v>EMC Cable Connector</v>
          </cell>
          <cell r="V1779" t="str">
            <v>电磁兼容电缆接头 Type</v>
          </cell>
        </row>
        <row r="1780">
          <cell r="B1780" t="str">
            <v>电磁兼容电缆接头</v>
          </cell>
          <cell r="C1780" t="str">
            <v>EMC Cable Connector</v>
          </cell>
          <cell r="V1780" t="str">
            <v xml:space="preserve">电磁兼容电缆接头 </v>
          </cell>
        </row>
        <row r="1781">
          <cell r="B1781" t="str">
            <v>残疾人操纵箱</v>
          </cell>
          <cell r="C1781" t="str">
            <v>Handicapped COP</v>
          </cell>
          <cell r="V1781" t="str">
            <v>残疾人操纵箱 Type-Button-Stop/Floor-Surface Finish</v>
          </cell>
        </row>
        <row r="1782">
          <cell r="B1782" t="str">
            <v>残疾人操纵箱</v>
          </cell>
          <cell r="C1782" t="str">
            <v>Handicapped COP</v>
          </cell>
          <cell r="V1782" t="str">
            <v>残疾人操纵箱 AM-44G DA283 16S/16F 304/HL</v>
          </cell>
        </row>
        <row r="1783">
          <cell r="B1783" t="str">
            <v>残疾人操纵箱盒体组件</v>
          </cell>
          <cell r="C1783" t="str">
            <v>Handicapped COP Box Assy</v>
          </cell>
          <cell r="V1783" t="str">
            <v>残疾人操纵箱盒体组件 Faceplate Material</v>
          </cell>
        </row>
        <row r="1784">
          <cell r="B1784" t="str">
            <v>残疾人操纵箱盒体组件</v>
          </cell>
          <cell r="C1784" t="str">
            <v>Handicapped COP Box Assy</v>
          </cell>
          <cell r="V1784" t="str">
            <v>残疾人操纵箱盒体组件 SUS304/0.8/MI</v>
          </cell>
        </row>
        <row r="1785">
          <cell r="B1785" t="str">
            <v>轿厢操纵箱盒体组件</v>
          </cell>
          <cell r="C1785" t="str">
            <v>COP Box Assy</v>
          </cell>
          <cell r="V1785" t="str">
            <v>轿厢操纵箱盒体组件 Width(mm)-Door Clear Height(mm)-Floor Decoration-Button-Display Board-Optional Function-Faceplate Material</v>
          </cell>
        </row>
        <row r="1786">
          <cell r="B1786" t="str">
            <v>轿厢操纵箱盒体组件</v>
          </cell>
          <cell r="C1786" t="str">
            <v>COP Box Assy</v>
          </cell>
          <cell r="V1786" t="str">
            <v>轿厢操纵箱盒体组件 375 DH2100 t5 DA215 MS3-SG G/A SUS304/0.8/MI</v>
          </cell>
        </row>
        <row r="1787">
          <cell r="B1787" t="str">
            <v>轿厢操纵箱盒体</v>
          </cell>
          <cell r="C1787" t="str">
            <v>COP Box</v>
          </cell>
          <cell r="V1787" t="str">
            <v>轿厢操纵箱盒体 Faceplate Material</v>
          </cell>
        </row>
        <row r="1788">
          <cell r="B1788" t="str">
            <v>轿厢操纵箱盒体</v>
          </cell>
          <cell r="C1788" t="str">
            <v>COP Box</v>
          </cell>
          <cell r="V1788" t="str">
            <v>轿厢操纵箱盒体 SUS304/0.8/MI</v>
          </cell>
        </row>
        <row r="1789">
          <cell r="B1789" t="str">
            <v>压绳器</v>
          </cell>
          <cell r="C1789" t="str">
            <v>Fixing Rope Gripper</v>
          </cell>
          <cell r="V1789" t="str">
            <v xml:space="preserve">压绳器 </v>
          </cell>
        </row>
        <row r="1790">
          <cell r="B1790" t="str">
            <v>压绳器</v>
          </cell>
          <cell r="C1790" t="str">
            <v>Fixing Rope Gripper</v>
          </cell>
          <cell r="V1790" t="str">
            <v xml:space="preserve">压绳器 </v>
          </cell>
        </row>
        <row r="1791">
          <cell r="B1791" t="str">
            <v>副轿厢操纵箱</v>
          </cell>
          <cell r="C1791" t="str">
            <v>Auxiliary COP</v>
          </cell>
          <cell r="V1791" t="str">
            <v>副轿厢操纵箱 Type-Button-Stop/Floor-Optional Function-Display Board-Surface Finish</v>
          </cell>
        </row>
        <row r="1792">
          <cell r="B1792" t="str">
            <v>副轿厢操纵箱</v>
          </cell>
          <cell r="C1792" t="str">
            <v>Auxiliary COP</v>
          </cell>
          <cell r="V1792" t="str">
            <v>副轿厢操纵箱 AM-44K AN170 10S/16F G/A MA9 304/HL</v>
          </cell>
        </row>
        <row r="1793">
          <cell r="B1793" t="str">
            <v>聚氨酯</v>
          </cell>
          <cell r="C1793" t="str">
            <v>Polyurethane</v>
          </cell>
          <cell r="V1793" t="str">
            <v xml:space="preserve">聚氨酯 </v>
          </cell>
        </row>
        <row r="1794">
          <cell r="B1794" t="str">
            <v>聚氨酯</v>
          </cell>
          <cell r="C1794" t="str">
            <v>Polyurethane</v>
          </cell>
          <cell r="V1794" t="str">
            <v xml:space="preserve">聚氨酯 </v>
          </cell>
        </row>
        <row r="1795">
          <cell r="B1795" t="str">
            <v>灰铸铁</v>
          </cell>
          <cell r="C1795" t="str">
            <v>Gray Cast Iron</v>
          </cell>
          <cell r="V1795" t="str">
            <v>灰铸铁 Type-Standard Code</v>
          </cell>
        </row>
        <row r="1796">
          <cell r="B1796" t="str">
            <v>灰铸铁</v>
          </cell>
          <cell r="C1796" t="str">
            <v>Gray Cast Iron</v>
          </cell>
          <cell r="V1796" t="str">
            <v>灰铸铁 HT150 GB/T9439</v>
          </cell>
        </row>
        <row r="1797">
          <cell r="B1797" t="str">
            <v>聚四氟乙烯</v>
          </cell>
          <cell r="C1797" t="str">
            <v>PTFE</v>
          </cell>
          <cell r="V1797" t="str">
            <v xml:space="preserve">聚四氟乙烯 </v>
          </cell>
        </row>
        <row r="1798">
          <cell r="B1798" t="str">
            <v>聚四氟乙烯</v>
          </cell>
          <cell r="C1798" t="str">
            <v>PTFE</v>
          </cell>
          <cell r="V1798" t="str">
            <v xml:space="preserve">聚四氟乙烯 </v>
          </cell>
        </row>
        <row r="1799">
          <cell r="B1799" t="str">
            <v>尼龙</v>
          </cell>
          <cell r="C1799" t="str">
            <v>Nylon</v>
          </cell>
          <cell r="V1799" t="str">
            <v xml:space="preserve">尼龙 </v>
          </cell>
        </row>
        <row r="1800">
          <cell r="B1800" t="str">
            <v>尼龙</v>
          </cell>
          <cell r="C1800" t="str">
            <v>Nylon</v>
          </cell>
          <cell r="V1800" t="str">
            <v xml:space="preserve">尼龙 </v>
          </cell>
        </row>
        <row r="1801">
          <cell r="B1801" t="str">
            <v>橡胶板</v>
          </cell>
          <cell r="C1801" t="str">
            <v>Rubber Sheet</v>
          </cell>
          <cell r="V1801" t="str">
            <v>橡胶板 Thickness(mm)-Standard Code</v>
          </cell>
        </row>
        <row r="1802">
          <cell r="B1802" t="str">
            <v>橡胶板</v>
          </cell>
          <cell r="C1802" t="str">
            <v>Rubber Sheet</v>
          </cell>
          <cell r="V1802" t="str">
            <v>橡胶板 3 GB/T5574</v>
          </cell>
        </row>
        <row r="1803">
          <cell r="B1803" t="str">
            <v>圆钢</v>
          </cell>
          <cell r="C1803" t="str">
            <v>Round Steel</v>
          </cell>
          <cell r="V1803" t="str">
            <v>圆钢 Diameter(mm)-Standard Code</v>
          </cell>
        </row>
        <row r="1804">
          <cell r="B1804" t="str">
            <v>圆钢</v>
          </cell>
          <cell r="C1804" t="str">
            <v>Round Steel</v>
          </cell>
          <cell r="V1804" t="str">
            <v>圆钢 9 GB/T905</v>
          </cell>
        </row>
        <row r="1805">
          <cell r="B1805" t="str">
            <v>厅门挂板组件</v>
          </cell>
          <cell r="C1805" t="str">
            <v>Landing Door Hanging Plate Assy</v>
          </cell>
          <cell r="V1805" t="str">
            <v>厅门挂板组件 Door Clear Opening Width(mm)-Openning Direction</v>
          </cell>
        </row>
        <row r="1806">
          <cell r="B1806" t="str">
            <v>厅门挂板组件</v>
          </cell>
          <cell r="C1806" t="str">
            <v>Landing Door Hanging Plate Assy</v>
          </cell>
          <cell r="V1806" t="str">
            <v>厅门挂板组件 DW800 LO</v>
          </cell>
        </row>
        <row r="1807">
          <cell r="B1807" t="str">
            <v>轿门挂板组件</v>
          </cell>
          <cell r="C1807" t="str">
            <v>Car Door Hanging Plate Assy</v>
          </cell>
          <cell r="V1807" t="str">
            <v>轿门挂板组件 Door Clear Opening Width(mm)-Openning Direction</v>
          </cell>
        </row>
        <row r="1808">
          <cell r="B1808" t="str">
            <v>轿门挂板组件</v>
          </cell>
          <cell r="C1808" t="str">
            <v>Car Door Hanging Plate Assy</v>
          </cell>
          <cell r="V1808" t="str">
            <v>轿门挂板组件 DW800 LO</v>
          </cell>
        </row>
        <row r="1809">
          <cell r="B1809" t="str">
            <v>轿厢减震装置</v>
          </cell>
          <cell r="C1809" t="str">
            <v>Car Vibrating Absorber</v>
          </cell>
          <cell r="V1809" t="str">
            <v>轿厢减震装置 Type</v>
          </cell>
        </row>
        <row r="1810">
          <cell r="B1810" t="str">
            <v>轿厢减震装置</v>
          </cell>
          <cell r="C1810" t="str">
            <v>Car Vibrating Absorber</v>
          </cell>
          <cell r="V1810" t="str">
            <v>轿厢减震装置 GR5.5</v>
          </cell>
        </row>
        <row r="1811">
          <cell r="B1811" t="str">
            <v>单耳止动垫圈</v>
          </cell>
          <cell r="C1811" t="str">
            <v>Single Ear Tab Washers</v>
          </cell>
          <cell r="V1811" t="str">
            <v>单耳止动垫圈 Spec.-Standard Code</v>
          </cell>
        </row>
        <row r="1812">
          <cell r="B1812" t="str">
            <v>单耳止动垫圈</v>
          </cell>
          <cell r="C1812" t="str">
            <v>Single Ear Tab Washers</v>
          </cell>
          <cell r="V1812" t="str">
            <v>单耳止动垫圈 16 GB/T854</v>
          </cell>
        </row>
        <row r="1813">
          <cell r="B1813" t="str">
            <v>轿底托架</v>
          </cell>
          <cell r="C1813" t="str">
            <v>Car Floor Support</v>
          </cell>
          <cell r="V1813" t="str">
            <v>轿底托架 Car Width(mm)-Car Depth(mm)</v>
          </cell>
        </row>
        <row r="1814">
          <cell r="B1814" t="str">
            <v>轿底托架</v>
          </cell>
          <cell r="C1814" t="str">
            <v>Car Floor Support</v>
          </cell>
          <cell r="V1814" t="str">
            <v>轿底托架 CW1350 CD1400</v>
          </cell>
        </row>
        <row r="1815">
          <cell r="B1815" t="str">
            <v>门封条</v>
          </cell>
          <cell r="C1815" t="str">
            <v>Door Seal</v>
          </cell>
          <cell r="V1815" t="str">
            <v xml:space="preserve">门封条 </v>
          </cell>
        </row>
        <row r="1816">
          <cell r="B1816" t="str">
            <v>门封条</v>
          </cell>
          <cell r="C1816" t="str">
            <v>Door Seal</v>
          </cell>
          <cell r="V1816" t="str">
            <v xml:space="preserve">门封条 </v>
          </cell>
        </row>
        <row r="1817">
          <cell r="B1817" t="str">
            <v>复位弹簧</v>
          </cell>
          <cell r="C1817" t="str">
            <v>Return Spring</v>
          </cell>
          <cell r="V1817" t="str">
            <v xml:space="preserve">复位弹簧 </v>
          </cell>
        </row>
        <row r="1818">
          <cell r="B1818" t="str">
            <v>复位弹簧</v>
          </cell>
          <cell r="C1818" t="str">
            <v>Return Spring</v>
          </cell>
          <cell r="V1818" t="str">
            <v xml:space="preserve">复位弹簧 </v>
          </cell>
        </row>
        <row r="1819">
          <cell r="B1819" t="str">
            <v>爬梯扶手</v>
          </cell>
          <cell r="C1819" t="str">
            <v>Ladder Handrail</v>
          </cell>
          <cell r="V1819" t="str">
            <v xml:space="preserve">爬梯扶手 </v>
          </cell>
        </row>
        <row r="1820">
          <cell r="B1820" t="str">
            <v>爬梯扶手</v>
          </cell>
          <cell r="C1820" t="str">
            <v>Ladder Handrail</v>
          </cell>
          <cell r="V1820" t="str">
            <v xml:space="preserve">爬梯扶手 </v>
          </cell>
        </row>
        <row r="1821">
          <cell r="B1821" t="str">
            <v>编码器电缆</v>
          </cell>
          <cell r="C1821" t="str">
            <v>Encoder Cable</v>
          </cell>
          <cell r="V1821" t="str">
            <v>编码器电缆 Encoder Type</v>
          </cell>
        </row>
        <row r="1822">
          <cell r="B1822" t="str">
            <v>编码器电缆</v>
          </cell>
          <cell r="C1822" t="str">
            <v>Encoder Cable</v>
          </cell>
          <cell r="V1822" t="str">
            <v>编码器电缆 HG900E</v>
          </cell>
        </row>
        <row r="1823">
          <cell r="B1823" t="str">
            <v>变频器壳体</v>
          </cell>
          <cell r="C1823" t="str">
            <v>Inverter Frame</v>
          </cell>
          <cell r="V1823" t="str">
            <v xml:space="preserve">变频器壳体 </v>
          </cell>
        </row>
        <row r="1824">
          <cell r="B1824" t="str">
            <v>变频器壳体</v>
          </cell>
          <cell r="C1824" t="str">
            <v>Inverter Frame</v>
          </cell>
          <cell r="V1824" t="str">
            <v xml:space="preserve">变频器壳体 </v>
          </cell>
        </row>
        <row r="1825">
          <cell r="B1825" t="str">
            <v xml:space="preserve">门导轨除尘装置 </v>
          </cell>
          <cell r="C1825" t="str">
            <v>Dedusting Device for Door Guide Rail</v>
          </cell>
          <cell r="V1825" t="str">
            <v xml:space="preserve">门导轨除尘装置  </v>
          </cell>
        </row>
        <row r="1826">
          <cell r="B1826" t="str">
            <v xml:space="preserve">门导轨除尘装置 </v>
          </cell>
          <cell r="C1826" t="str">
            <v>Dedusting Device for Door Guide Rail</v>
          </cell>
          <cell r="V1826" t="str">
            <v xml:space="preserve">门导轨除尘装置  </v>
          </cell>
        </row>
        <row r="1827">
          <cell r="B1827" t="str">
            <v xml:space="preserve">除尘毛毡 </v>
          </cell>
          <cell r="C1827" t="str">
            <v xml:space="preserve">Dedusting Felt </v>
          </cell>
          <cell r="V1827" t="str">
            <v xml:space="preserve">除尘毛毡  </v>
          </cell>
        </row>
        <row r="1828">
          <cell r="B1828" t="str">
            <v xml:space="preserve">除尘毛毡 </v>
          </cell>
          <cell r="C1828" t="str">
            <v xml:space="preserve">Dedusting Felt </v>
          </cell>
          <cell r="V1828" t="str">
            <v xml:space="preserve">除尘毛毡  </v>
          </cell>
        </row>
        <row r="1829">
          <cell r="B1829" t="str">
            <v>导热硅脂</v>
          </cell>
          <cell r="C1829" t="str">
            <v>Thermal Grease</v>
          </cell>
          <cell r="V1829" t="str">
            <v>导热硅脂 Type</v>
          </cell>
        </row>
        <row r="1830">
          <cell r="B1830" t="str">
            <v>导热硅脂</v>
          </cell>
          <cell r="C1830" t="str">
            <v>Thermal Grease</v>
          </cell>
          <cell r="V1830" t="str">
            <v>导热硅脂 DC340</v>
          </cell>
        </row>
        <row r="1831">
          <cell r="B1831" t="str">
            <v>变频器调试电缆</v>
          </cell>
          <cell r="C1831" t="str">
            <v>Inverter Diagnostic Cable</v>
          </cell>
          <cell r="V1831" t="str">
            <v xml:space="preserve">变频器调试电缆 </v>
          </cell>
        </row>
        <row r="1832">
          <cell r="B1832" t="str">
            <v>变频器调试电缆</v>
          </cell>
          <cell r="C1832" t="str">
            <v>Inverter Diagnostic Cable</v>
          </cell>
          <cell r="V1832" t="str">
            <v xml:space="preserve">变频器调试电缆 </v>
          </cell>
        </row>
        <row r="1833">
          <cell r="B1833" t="str">
            <v>底坑辅助检修箱</v>
          </cell>
          <cell r="C1833" t="str">
            <v>Pit Auxiliary Inspection Box</v>
          </cell>
          <cell r="V1833" t="str">
            <v xml:space="preserve">底坑辅助检修箱 </v>
          </cell>
        </row>
        <row r="1834">
          <cell r="B1834" t="str">
            <v>底坑辅助检修箱</v>
          </cell>
          <cell r="C1834" t="str">
            <v>Pit Auxiliary Inspection Box</v>
          </cell>
          <cell r="V1834" t="str">
            <v xml:space="preserve">底坑辅助检修箱 </v>
          </cell>
        </row>
        <row r="1835">
          <cell r="B1835" t="str">
            <v>底坑辅助检修箱电缆</v>
          </cell>
          <cell r="C1835" t="str">
            <v>Pit Auxiliary Inspection Box Cable</v>
          </cell>
          <cell r="V1835" t="str">
            <v xml:space="preserve">底坑辅助检修箱电缆 </v>
          </cell>
        </row>
        <row r="1836">
          <cell r="B1836" t="str">
            <v>底坑辅助检修箱电缆</v>
          </cell>
          <cell r="C1836" t="str">
            <v>Pit Auxiliary Inspection Box Cable</v>
          </cell>
          <cell r="V1836" t="str">
            <v xml:space="preserve">底坑辅助检修箱电缆 </v>
          </cell>
        </row>
        <row r="1837">
          <cell r="B1837" t="str">
            <v>铆接件</v>
          </cell>
          <cell r="C1837" t="str">
            <v>Riveting</v>
          </cell>
          <cell r="V1837" t="str">
            <v xml:space="preserve">铆接件 </v>
          </cell>
        </row>
        <row r="1838">
          <cell r="B1838" t="str">
            <v>铆接件</v>
          </cell>
          <cell r="C1838" t="str">
            <v>Riveting</v>
          </cell>
          <cell r="V1838" t="str">
            <v xml:space="preserve">铆接件 </v>
          </cell>
        </row>
        <row r="1839">
          <cell r="B1839" t="str">
            <v>直流接触器控制装置</v>
          </cell>
          <cell r="C1839" t="str">
            <v>DC Contactor Controller</v>
          </cell>
          <cell r="V1839" t="str">
            <v xml:space="preserve">直流接触器控制装置 </v>
          </cell>
        </row>
        <row r="1840">
          <cell r="B1840" t="str">
            <v>直流接触器控制装置</v>
          </cell>
          <cell r="C1840" t="str">
            <v>DC Contactor Controller</v>
          </cell>
          <cell r="V1840" t="str">
            <v xml:space="preserve">直流接触器控制装置 </v>
          </cell>
        </row>
        <row r="1841">
          <cell r="B1841" t="str">
            <v>机房消音组件</v>
          </cell>
          <cell r="C1841" t="str">
            <v>Machine Room Silence Assy</v>
          </cell>
          <cell r="V1841" t="str">
            <v xml:space="preserve">机房消音组件 </v>
          </cell>
        </row>
        <row r="1842">
          <cell r="B1842" t="str">
            <v>机房消音组件</v>
          </cell>
          <cell r="C1842" t="str">
            <v>Machine Room Silence Assy</v>
          </cell>
          <cell r="V1842" t="str">
            <v xml:space="preserve">机房消音组件 </v>
          </cell>
        </row>
        <row r="1843">
          <cell r="B1843" t="str">
            <v>防烫标识</v>
          </cell>
          <cell r="C1843" t="str">
            <v>Hot Surface Label</v>
          </cell>
          <cell r="V1843" t="str">
            <v xml:space="preserve">防烫标识 </v>
          </cell>
        </row>
        <row r="1844">
          <cell r="B1844" t="str">
            <v>防烫标识</v>
          </cell>
          <cell r="C1844" t="str">
            <v>Hot Surface Label</v>
          </cell>
          <cell r="V1844" t="str">
            <v xml:space="preserve">防烫标识 </v>
          </cell>
        </row>
        <row r="1845">
          <cell r="B1845" t="str">
            <v>缓冲器辅助支撑架</v>
          </cell>
          <cell r="C1845" t="str">
            <v>Buffer Support Auxiliary Bracket</v>
          </cell>
          <cell r="V1845" t="str">
            <v xml:space="preserve">缓冲器辅助支撑架 </v>
          </cell>
        </row>
        <row r="1846">
          <cell r="B1846" t="str">
            <v>缓冲器辅助支撑架</v>
          </cell>
          <cell r="C1846" t="str">
            <v>Buffer Support Auxiliary Bracket</v>
          </cell>
          <cell r="V1846" t="str">
            <v xml:space="preserve">缓冲器辅助支撑架 </v>
          </cell>
        </row>
        <row r="1847">
          <cell r="B1847" t="str">
            <v>电路板电源电缆</v>
          </cell>
          <cell r="C1847" t="str">
            <v>PCB P/Cable</v>
          </cell>
          <cell r="V1847" t="str">
            <v>电路板电源电缆 Apply for-Rated Voltage</v>
          </cell>
        </row>
        <row r="1848">
          <cell r="B1848" t="str">
            <v>电路板电源电缆</v>
          </cell>
          <cell r="C1848" t="str">
            <v>PCB P/Cable</v>
          </cell>
          <cell r="V1848" t="str">
            <v>电路板电源电缆 MC1 5V</v>
          </cell>
        </row>
        <row r="1849">
          <cell r="B1849" t="str">
            <v>电路板通讯电缆</v>
          </cell>
          <cell r="C1849" t="str">
            <v>PCB C/Cable</v>
          </cell>
          <cell r="V1849" t="str">
            <v>电路板通讯电缆 Apply for</v>
          </cell>
        </row>
        <row r="1850">
          <cell r="B1850" t="str">
            <v>电路板通讯电缆</v>
          </cell>
          <cell r="C1850" t="str">
            <v>PCB C/Cable</v>
          </cell>
          <cell r="V1850" t="str">
            <v>电路板通讯电缆 MC1</v>
          </cell>
        </row>
        <row r="1851">
          <cell r="B1851" t="str">
            <v>接插件线束</v>
          </cell>
          <cell r="C1851" t="str">
            <v>Socket Connector Harness</v>
          </cell>
          <cell r="V1851" t="str">
            <v>接插件线束 Type</v>
          </cell>
        </row>
        <row r="1852">
          <cell r="B1852" t="str">
            <v>接插件线束</v>
          </cell>
          <cell r="C1852" t="str">
            <v>Socket Connector Harness</v>
          </cell>
          <cell r="V1852" t="str">
            <v>接插件线束 X12</v>
          </cell>
        </row>
        <row r="1853">
          <cell r="B1853" t="str">
            <v>对接端头</v>
          </cell>
          <cell r="C1853" t="str">
            <v>Docking Terminal</v>
          </cell>
          <cell r="V1853" t="str">
            <v>对接端头 Type</v>
          </cell>
        </row>
        <row r="1854">
          <cell r="B1854" t="str">
            <v>对接端头</v>
          </cell>
          <cell r="C1854" t="str">
            <v>Docking Terminal</v>
          </cell>
          <cell r="V1854" t="str">
            <v>对接端头 LIB 6.0B26 VF</v>
          </cell>
        </row>
        <row r="1855">
          <cell r="B1855" t="str">
            <v>井道强电电缆组件</v>
          </cell>
          <cell r="C1855" t="str">
            <v>Shaft HV Cable Assy</v>
          </cell>
          <cell r="V1855" t="str">
            <v xml:space="preserve">井道强电电缆组件 </v>
          </cell>
        </row>
        <row r="1856">
          <cell r="B1856" t="str">
            <v>井道强电电缆组件</v>
          </cell>
          <cell r="C1856" t="str">
            <v>Shaft HV Cable Assy</v>
          </cell>
          <cell r="V1856" t="str">
            <v xml:space="preserve">井道强电电缆组件 </v>
          </cell>
        </row>
        <row r="1857">
          <cell r="B1857" t="str">
            <v>井道弱电电缆组件</v>
          </cell>
          <cell r="C1857" t="str">
            <v>Shaft LV Cable Assy</v>
          </cell>
          <cell r="V1857" t="str">
            <v xml:space="preserve">井道弱电电缆组件 </v>
          </cell>
        </row>
        <row r="1858">
          <cell r="B1858" t="str">
            <v>井道弱电电缆组件</v>
          </cell>
          <cell r="C1858" t="str">
            <v>Shaft LV Cable Assy</v>
          </cell>
          <cell r="V1858" t="str">
            <v xml:space="preserve">井道弱电电缆组件 </v>
          </cell>
        </row>
        <row r="1859">
          <cell r="B1859" t="str">
            <v>焊接件</v>
          </cell>
          <cell r="C1859" t="str">
            <v>Weldment</v>
          </cell>
          <cell r="V1859" t="str">
            <v xml:space="preserve">焊接件 </v>
          </cell>
        </row>
        <row r="1860">
          <cell r="B1860" t="str">
            <v>焊接件</v>
          </cell>
          <cell r="C1860" t="str">
            <v>Weldment</v>
          </cell>
          <cell r="V1860" t="str">
            <v xml:space="preserve">焊接件 </v>
          </cell>
        </row>
        <row r="1861">
          <cell r="B1861" t="str">
            <v>召唤显示箱盒体</v>
          </cell>
          <cell r="C1861" t="str">
            <v>LIOP Box</v>
          </cell>
          <cell r="V1861" t="str">
            <v>召唤显示箱盒体 Faceplate Material</v>
          </cell>
        </row>
        <row r="1862">
          <cell r="B1862" t="str">
            <v>召唤显示箱盒体</v>
          </cell>
          <cell r="C1862" t="str">
            <v>LIOP Box</v>
          </cell>
          <cell r="V1862" t="str">
            <v>召唤显示箱盒体 SUS304/0.8/MI</v>
          </cell>
        </row>
        <row r="1863">
          <cell r="B1863" t="str">
            <v>召唤箱盒体</v>
          </cell>
          <cell r="C1863" t="str">
            <v>LOP Box</v>
          </cell>
          <cell r="V1863" t="str">
            <v>召唤箱盒体 Faceplate Material</v>
          </cell>
        </row>
        <row r="1864">
          <cell r="B1864" t="str">
            <v>召唤箱盒体</v>
          </cell>
          <cell r="C1864" t="str">
            <v>LOP Box</v>
          </cell>
          <cell r="V1864" t="str">
            <v>召唤箱盒体 SUS304/0.8/MI</v>
          </cell>
        </row>
        <row r="1865">
          <cell r="B1865" t="str">
            <v>橡胶防尘密封圈</v>
          </cell>
          <cell r="C1865" t="str">
            <v>Rubber Dust Seal</v>
          </cell>
          <cell r="V1865" t="str">
            <v>橡胶防尘密封圈 Series-Spec-Standard code</v>
          </cell>
        </row>
        <row r="1866">
          <cell r="B1866" t="str">
            <v>橡胶防尘密封圈</v>
          </cell>
          <cell r="C1866" t="str">
            <v>Rubber Dust Seal</v>
          </cell>
          <cell r="V1866" t="str">
            <v>橡胶防尘密封圈 FA 100*115*9.5 GB/T10708.3</v>
          </cell>
        </row>
        <row r="1867">
          <cell r="B1867" t="str">
            <v>MC3-LCD通讯电缆</v>
          </cell>
          <cell r="C1867" t="str">
            <v>MC3-LCD C/Cable</v>
          </cell>
          <cell r="V1867" t="str">
            <v xml:space="preserve">MC3-LCD通讯电缆 </v>
          </cell>
        </row>
        <row r="1868">
          <cell r="B1868" t="str">
            <v>MC3-LCD通讯电缆</v>
          </cell>
          <cell r="C1868" t="str">
            <v>MC3-LCD C/Cable</v>
          </cell>
          <cell r="V1868" t="str">
            <v xml:space="preserve">MC3-LCD通讯电缆 </v>
          </cell>
        </row>
        <row r="1869">
          <cell r="B1869" t="str">
            <v>MC3-LCD电源电缆</v>
          </cell>
          <cell r="C1869" t="str">
            <v>MC3-LCD P/Cable</v>
          </cell>
          <cell r="V1869" t="str">
            <v xml:space="preserve">MC3-LCD电源电缆 </v>
          </cell>
        </row>
        <row r="1870">
          <cell r="B1870" t="str">
            <v>MC3-LCD电源电缆</v>
          </cell>
          <cell r="C1870" t="str">
            <v>MC3-LCD P/Cable</v>
          </cell>
          <cell r="V1870" t="str">
            <v xml:space="preserve">MC3-LCD电源电缆 </v>
          </cell>
        </row>
        <row r="1871">
          <cell r="B1871" t="str">
            <v>MC3-RJ45通讯电缆</v>
          </cell>
          <cell r="C1871" t="str">
            <v>MC3-RJ45 C/Cable</v>
          </cell>
          <cell r="V1871" t="str">
            <v xml:space="preserve">MC3-RJ45通讯电缆 </v>
          </cell>
        </row>
        <row r="1872">
          <cell r="B1872" t="str">
            <v>MC3-RJ45通讯电缆</v>
          </cell>
          <cell r="C1872" t="str">
            <v>MC3-RJ45 C/Cable</v>
          </cell>
          <cell r="V1872" t="str">
            <v xml:space="preserve">MC3-RJ45通讯电缆 </v>
          </cell>
        </row>
        <row r="1873">
          <cell r="B1873" t="str">
            <v>门机通讯电缆</v>
          </cell>
          <cell r="C1873" t="str">
            <v>Door Operator C/Cable</v>
          </cell>
          <cell r="V1873" t="str">
            <v xml:space="preserve">门机通讯电缆 </v>
          </cell>
        </row>
        <row r="1874">
          <cell r="B1874" t="str">
            <v>门机通讯电缆</v>
          </cell>
          <cell r="C1874" t="str">
            <v>Door Operator C/Cable</v>
          </cell>
          <cell r="V1874" t="str">
            <v xml:space="preserve">门机通讯电缆 </v>
          </cell>
        </row>
        <row r="1875">
          <cell r="B1875" t="str">
            <v>光幕信号电缆</v>
          </cell>
          <cell r="C1875" t="str">
            <v>Light Curtain Signal Cable</v>
          </cell>
          <cell r="V1875" t="str">
            <v xml:space="preserve">光幕信号电缆 </v>
          </cell>
        </row>
        <row r="1876">
          <cell r="B1876" t="str">
            <v>光幕信号电缆</v>
          </cell>
          <cell r="C1876" t="str">
            <v>Light Curtain Signal Cable</v>
          </cell>
          <cell r="V1876" t="str">
            <v xml:space="preserve">光幕信号电缆 </v>
          </cell>
        </row>
        <row r="1877">
          <cell r="B1877" t="str">
            <v>绳轮防护组件</v>
          </cell>
          <cell r="C1877" t="str">
            <v xml:space="preserve"> Rope Pulley Guard Assy</v>
          </cell>
          <cell r="V1877" t="str">
            <v>绳轮防护组件 Pulley Dia.(mm)</v>
          </cell>
        </row>
        <row r="1878">
          <cell r="B1878" t="str">
            <v>绳轮防护组件</v>
          </cell>
          <cell r="C1878" t="str">
            <v xml:space="preserve"> Rope Pulley Guard Assy</v>
          </cell>
          <cell r="V1878" t="str">
            <v>绳轮防护组件 D400</v>
          </cell>
        </row>
        <row r="1879">
          <cell r="B1879" t="str">
            <v>短接线</v>
          </cell>
          <cell r="C1879" t="str">
            <v>Short Wiring</v>
          </cell>
          <cell r="V1879" t="str">
            <v xml:space="preserve">短接线 </v>
          </cell>
        </row>
        <row r="1880">
          <cell r="B1880" t="str">
            <v>短接线</v>
          </cell>
          <cell r="C1880" t="str">
            <v>Short Wiring</v>
          </cell>
          <cell r="V1880" t="str">
            <v xml:space="preserve">短接线 </v>
          </cell>
        </row>
        <row r="1881">
          <cell r="B1881" t="str">
            <v>轿厢照明控制电缆</v>
          </cell>
          <cell r="C1881" t="str">
            <v>Car Lighting C/Cable</v>
          </cell>
          <cell r="V1881" t="str">
            <v xml:space="preserve">轿厢照明控制电缆 </v>
          </cell>
        </row>
        <row r="1882">
          <cell r="B1882" t="str">
            <v>轿厢照明控制电缆</v>
          </cell>
          <cell r="C1882" t="str">
            <v>Car Lighting C/Cable</v>
          </cell>
          <cell r="V1882" t="str">
            <v xml:space="preserve">轿厢照明控制电缆 </v>
          </cell>
        </row>
        <row r="1883">
          <cell r="B1883" t="str">
            <v>编码器加长电缆</v>
          </cell>
          <cell r="C1883" t="str">
            <v>Encoder Lengthening Cable</v>
          </cell>
          <cell r="V1883" t="str">
            <v xml:space="preserve">编码器加长电缆 </v>
          </cell>
        </row>
        <row r="1884">
          <cell r="B1884" t="str">
            <v>编码器加长电缆</v>
          </cell>
          <cell r="C1884" t="str">
            <v>Encoder Lengthening Cable</v>
          </cell>
          <cell r="V1884" t="str">
            <v xml:space="preserve">编码器加长电缆 </v>
          </cell>
        </row>
        <row r="1885">
          <cell r="B1885" t="str">
            <v>圆柱滚子轴承</v>
          </cell>
          <cell r="C1885" t="str">
            <v>C. Roller Bearing</v>
          </cell>
          <cell r="V1885" t="str">
            <v>圆柱滚子轴承 Type-Manufactrurer/Standard Code</v>
          </cell>
        </row>
        <row r="1886">
          <cell r="B1886" t="str">
            <v>圆柱滚子轴承</v>
          </cell>
          <cell r="C1886" t="str">
            <v>C. Roller Bearing</v>
          </cell>
          <cell r="V1886" t="str">
            <v>圆柱滚子轴承 NUP208E GB/T283</v>
          </cell>
        </row>
        <row r="1887">
          <cell r="B1887" t="str">
            <v>圆柱滚子轴承</v>
          </cell>
          <cell r="C1887" t="str">
            <v>C. Roller Bearing</v>
          </cell>
          <cell r="V1887" t="str">
            <v>圆柱滚子轴承 NJ316ECP SKF</v>
          </cell>
        </row>
        <row r="1888">
          <cell r="B1888" t="str">
            <v>无缝钢管</v>
          </cell>
          <cell r="C1888" t="str">
            <v>Seamless Steel Tube</v>
          </cell>
          <cell r="V1888" t="str">
            <v>无缝钢管 Spec.-Standard Code-Material</v>
          </cell>
        </row>
        <row r="1889">
          <cell r="B1889" t="str">
            <v>无缝钢管</v>
          </cell>
          <cell r="C1889" t="str">
            <v>Seamless Steel Tube</v>
          </cell>
          <cell r="V1889" t="str">
            <v>无缝钢管 D21*S4.0 GB/T8162 Q235A</v>
          </cell>
        </row>
        <row r="1890">
          <cell r="B1890" t="str">
            <v>接插件外壳</v>
          </cell>
          <cell r="C1890" t="str">
            <v>Socket Connector Shell</v>
          </cell>
          <cell r="V1890" t="str">
            <v>接插件外壳 Type</v>
          </cell>
        </row>
        <row r="1891">
          <cell r="B1891" t="str">
            <v>接插件外壳</v>
          </cell>
          <cell r="C1891" t="str">
            <v>Socket Connector Shell</v>
          </cell>
          <cell r="V1891" t="str">
            <v>接插件外壳 Type D</v>
          </cell>
        </row>
        <row r="1892">
          <cell r="B1892" t="str">
            <v>机房线槽平弯头</v>
          </cell>
          <cell r="C1892" t="str">
            <v>Machine Room Trunking Flat Elbow</v>
          </cell>
          <cell r="V1892" t="str">
            <v xml:space="preserve">机房线槽平弯头 </v>
          </cell>
        </row>
        <row r="1893">
          <cell r="B1893" t="str">
            <v>机房线槽平弯头</v>
          </cell>
          <cell r="C1893" t="str">
            <v>Machine Room Trunking Flat Elbow</v>
          </cell>
          <cell r="V1893" t="str">
            <v xml:space="preserve">机房线槽平弯头 </v>
          </cell>
        </row>
        <row r="1894">
          <cell r="B1894" t="str">
            <v>机房线槽直弯头</v>
          </cell>
          <cell r="C1894" t="str">
            <v>Machine Room Trunking Straight Elbow</v>
          </cell>
          <cell r="V1894" t="str">
            <v xml:space="preserve">机房线槽直弯头 </v>
          </cell>
        </row>
        <row r="1895">
          <cell r="B1895" t="str">
            <v>机房线槽直弯头</v>
          </cell>
          <cell r="C1895" t="str">
            <v>Machine Room Trunking Straight Elbow</v>
          </cell>
          <cell r="V1895" t="str">
            <v xml:space="preserve">机房线槽直弯头 </v>
          </cell>
        </row>
        <row r="1896">
          <cell r="B1896" t="str">
            <v>补偿链固定组件</v>
          </cell>
          <cell r="C1896" t="str">
            <v>Compensation Chain Fixing Assy</v>
          </cell>
          <cell r="V1896" t="str">
            <v xml:space="preserve">补偿链固定组件 </v>
          </cell>
        </row>
        <row r="1897">
          <cell r="B1897" t="str">
            <v>补偿链固定组件</v>
          </cell>
          <cell r="C1897" t="str">
            <v>Compensation Chain Fixing Assy</v>
          </cell>
          <cell r="V1897" t="str">
            <v xml:space="preserve">补偿链固定组件 </v>
          </cell>
        </row>
        <row r="1898">
          <cell r="B1898" t="str">
            <v>滚针和保持架组件</v>
          </cell>
          <cell r="C1898" t="str">
            <v>N. Roller And Cage Assy</v>
          </cell>
          <cell r="V1898" t="str">
            <v>滚针和保持架组件 Type-Standard Code</v>
          </cell>
        </row>
        <row r="1899">
          <cell r="B1899" t="str">
            <v>滚针和保持架组件</v>
          </cell>
          <cell r="C1899" t="str">
            <v>N. Roller And Cage Assy</v>
          </cell>
          <cell r="V1899" t="str">
            <v>滚针和保持架组件 K12*15*10 JB/T7918</v>
          </cell>
        </row>
        <row r="1900">
          <cell r="B1900" t="str">
            <v>连接螺母</v>
          </cell>
          <cell r="C1900" t="str">
            <v>Connection Nut</v>
          </cell>
          <cell r="V1900" t="str">
            <v xml:space="preserve">连接螺母 </v>
          </cell>
        </row>
        <row r="1901">
          <cell r="B1901" t="str">
            <v>连接螺母</v>
          </cell>
          <cell r="C1901" t="str">
            <v>Connection Nut</v>
          </cell>
          <cell r="V1901" t="str">
            <v xml:space="preserve">连接螺母 </v>
          </cell>
        </row>
        <row r="1902">
          <cell r="B1902" t="str">
            <v>提拉杆</v>
          </cell>
          <cell r="C1902" t="str">
            <v>Pulling Rod</v>
          </cell>
          <cell r="V1902" t="str">
            <v xml:space="preserve">提拉杆 </v>
          </cell>
        </row>
        <row r="1903">
          <cell r="B1903" t="str">
            <v>提拉杆</v>
          </cell>
          <cell r="C1903" t="str">
            <v>Pulling Rod</v>
          </cell>
          <cell r="V1903" t="str">
            <v xml:space="preserve">提拉杆 </v>
          </cell>
        </row>
        <row r="1904">
          <cell r="B1904" t="str">
            <v>板簧</v>
          </cell>
          <cell r="C1904" t="str">
            <v>Plate Spring</v>
          </cell>
          <cell r="V1904" t="str">
            <v xml:space="preserve">板簧 </v>
          </cell>
        </row>
        <row r="1905">
          <cell r="B1905" t="str">
            <v>板簧</v>
          </cell>
          <cell r="C1905" t="str">
            <v>Plate Spring</v>
          </cell>
          <cell r="V1905" t="str">
            <v xml:space="preserve">板簧 </v>
          </cell>
        </row>
        <row r="1906">
          <cell r="B1906" t="str">
            <v>板簧组件</v>
          </cell>
          <cell r="C1906" t="str">
            <v>Plate Spring Assy</v>
          </cell>
          <cell r="V1906" t="str">
            <v xml:space="preserve">板簧组件 </v>
          </cell>
        </row>
        <row r="1907">
          <cell r="B1907" t="str">
            <v>板簧组件</v>
          </cell>
          <cell r="C1907" t="str">
            <v>Plate Spring Assy</v>
          </cell>
          <cell r="V1907" t="str">
            <v xml:space="preserve">板簧组件 </v>
          </cell>
        </row>
        <row r="1908">
          <cell r="B1908" t="str">
            <v>导向块</v>
          </cell>
          <cell r="C1908" t="str">
            <v>Guide Block</v>
          </cell>
          <cell r="V1908" t="str">
            <v xml:space="preserve">导向块 </v>
          </cell>
        </row>
        <row r="1909">
          <cell r="B1909" t="str">
            <v>导向块</v>
          </cell>
          <cell r="C1909" t="str">
            <v>Guide Block</v>
          </cell>
          <cell r="V1909" t="str">
            <v xml:space="preserve">导向块 </v>
          </cell>
        </row>
        <row r="1910">
          <cell r="B1910" t="str">
            <v>顶板</v>
          </cell>
          <cell r="C1910" t="str">
            <v>Top Plate</v>
          </cell>
          <cell r="V1910" t="str">
            <v xml:space="preserve">顶板 </v>
          </cell>
        </row>
        <row r="1911">
          <cell r="B1911" t="str">
            <v>顶板</v>
          </cell>
          <cell r="C1911" t="str">
            <v>Top Plate</v>
          </cell>
          <cell r="V1911" t="str">
            <v xml:space="preserve">顶板 </v>
          </cell>
        </row>
        <row r="1912">
          <cell r="B1912" t="str">
            <v>残疾人操纵箱面板</v>
          </cell>
          <cell r="C1912" t="str">
            <v>Handicapped COP Faceplate</v>
          </cell>
          <cell r="V1912" t="str">
            <v>残疾人操纵箱面板 Type-Button-Stop/Floor-Surface Finish</v>
          </cell>
        </row>
        <row r="1913">
          <cell r="B1913" t="str">
            <v>残疾人操纵箱面板</v>
          </cell>
          <cell r="C1913" t="str">
            <v>Handicapped COP Faceplate</v>
          </cell>
          <cell r="V1913" t="str">
            <v>残疾人操纵箱面板 AM-44G DA283 16S/16F 304/HL</v>
          </cell>
        </row>
        <row r="1914">
          <cell r="B1914" t="str">
            <v>轮轴组件</v>
          </cell>
          <cell r="C1914" t="str">
            <v>Pulley Axle Assy</v>
          </cell>
          <cell r="V1914" t="str">
            <v>轮轴组件 Max. Dia.(mm)-Length(mm)</v>
          </cell>
        </row>
        <row r="1915">
          <cell r="B1915" t="str">
            <v>轮轴组件</v>
          </cell>
          <cell r="C1915" t="str">
            <v>Pulley Axle Assy</v>
          </cell>
          <cell r="V1915" t="str">
            <v>轮轴组件 D40 L200</v>
          </cell>
        </row>
        <row r="1916">
          <cell r="B1916" t="str">
            <v>MHC-MH4 SI通讯电缆</v>
          </cell>
          <cell r="C1916" t="str">
            <v>MHC-MH4 SI C/Cable</v>
          </cell>
          <cell r="V1916" t="str">
            <v xml:space="preserve">MHC-MH4 SI通讯电缆 </v>
          </cell>
        </row>
        <row r="1917">
          <cell r="B1917" t="str">
            <v>MHC-MH4 SI通讯电缆</v>
          </cell>
          <cell r="C1917" t="str">
            <v>MHC-MH4 SI C/Cable</v>
          </cell>
          <cell r="V1917" t="str">
            <v xml:space="preserve">MHC-MH4 SI通讯电缆 </v>
          </cell>
        </row>
        <row r="1918">
          <cell r="B1918" t="str">
            <v>连杆</v>
          </cell>
          <cell r="C1918" t="str">
            <v>Connecting Rod</v>
          </cell>
          <cell r="V1918" t="str">
            <v xml:space="preserve">连杆 </v>
          </cell>
        </row>
        <row r="1919">
          <cell r="B1919" t="str">
            <v>连杆</v>
          </cell>
          <cell r="C1919" t="str">
            <v>Connecting Rod</v>
          </cell>
          <cell r="V1919" t="str">
            <v xml:space="preserve">连杆 </v>
          </cell>
        </row>
        <row r="1920">
          <cell r="B1920" t="str">
            <v>复位杆</v>
          </cell>
          <cell r="C1920" t="str">
            <v>Reset Lever</v>
          </cell>
          <cell r="V1920" t="str">
            <v xml:space="preserve">复位杆 </v>
          </cell>
        </row>
        <row r="1921">
          <cell r="B1921" t="str">
            <v>复位杆</v>
          </cell>
          <cell r="C1921" t="str">
            <v>Reset Lever</v>
          </cell>
          <cell r="V1921" t="str">
            <v xml:space="preserve">复位杆 </v>
          </cell>
        </row>
        <row r="1922">
          <cell r="B1922" t="str">
            <v>复位杆组件</v>
          </cell>
          <cell r="C1922" t="str">
            <v>Reset Lever Assy</v>
          </cell>
          <cell r="V1922" t="str">
            <v xml:space="preserve">复位杆组件 </v>
          </cell>
        </row>
        <row r="1923">
          <cell r="B1923" t="str">
            <v>复位杆组件</v>
          </cell>
          <cell r="C1923" t="str">
            <v>Reset Lever Assy</v>
          </cell>
          <cell r="V1923" t="str">
            <v xml:space="preserve">复位杆组件 </v>
          </cell>
        </row>
        <row r="1924">
          <cell r="B1924" t="str">
            <v>棘轮</v>
          </cell>
          <cell r="C1924" t="str">
            <v>Ratchet</v>
          </cell>
          <cell r="V1924" t="str">
            <v xml:space="preserve">棘轮 </v>
          </cell>
        </row>
        <row r="1925">
          <cell r="B1925" t="str">
            <v>棘轮</v>
          </cell>
          <cell r="C1925" t="str">
            <v>Ratchet</v>
          </cell>
          <cell r="V1925" t="str">
            <v xml:space="preserve">棘轮 </v>
          </cell>
        </row>
        <row r="1926">
          <cell r="B1926" t="str">
            <v>棘爪</v>
          </cell>
          <cell r="C1926" t="str">
            <v>Pawl</v>
          </cell>
          <cell r="V1926" t="str">
            <v xml:space="preserve">棘爪 </v>
          </cell>
        </row>
        <row r="1927">
          <cell r="B1927" t="str">
            <v>棘爪</v>
          </cell>
          <cell r="C1927" t="str">
            <v>Pawl</v>
          </cell>
          <cell r="V1927" t="str">
            <v xml:space="preserve">棘爪 </v>
          </cell>
        </row>
        <row r="1928">
          <cell r="B1928" t="str">
            <v>棘轮组件</v>
          </cell>
          <cell r="C1928" t="str">
            <v>Ratchet Assy</v>
          </cell>
          <cell r="V1928" t="str">
            <v xml:space="preserve">棘轮组件 </v>
          </cell>
        </row>
        <row r="1929">
          <cell r="B1929" t="str">
            <v>棘轮组件</v>
          </cell>
          <cell r="C1929" t="str">
            <v>Ratchet Assy</v>
          </cell>
          <cell r="V1929" t="str">
            <v xml:space="preserve">棘轮组件 </v>
          </cell>
        </row>
        <row r="1930">
          <cell r="B1930" t="str">
            <v>离心锤</v>
          </cell>
          <cell r="C1930" t="str">
            <v>Centrifugal Hammer</v>
          </cell>
          <cell r="V1930" t="str">
            <v xml:space="preserve">离心锤 </v>
          </cell>
        </row>
        <row r="1931">
          <cell r="B1931" t="str">
            <v>离心锤</v>
          </cell>
          <cell r="C1931" t="str">
            <v>Centrifugal Hammer</v>
          </cell>
          <cell r="V1931" t="str">
            <v xml:space="preserve">离心锤 </v>
          </cell>
        </row>
        <row r="1932">
          <cell r="B1932" t="str">
            <v>离心锤组件</v>
          </cell>
          <cell r="C1932" t="str">
            <v>Centrifugal Hammer Assy</v>
          </cell>
          <cell r="V1932" t="str">
            <v xml:space="preserve">离心锤组件 </v>
          </cell>
        </row>
        <row r="1933">
          <cell r="B1933" t="str">
            <v>离心锤组件</v>
          </cell>
          <cell r="C1933" t="str">
            <v>Centrifugal Hammer Assy</v>
          </cell>
          <cell r="V1933" t="str">
            <v xml:space="preserve">离心锤组件 </v>
          </cell>
        </row>
        <row r="1934">
          <cell r="B1934" t="str">
            <v>拨叉</v>
          </cell>
          <cell r="C1934" t="str">
            <v>Shifting Fork</v>
          </cell>
          <cell r="V1934" t="str">
            <v xml:space="preserve">拨叉 </v>
          </cell>
        </row>
        <row r="1935">
          <cell r="B1935" t="str">
            <v>拨叉</v>
          </cell>
          <cell r="C1935" t="str">
            <v>Shifting Fork</v>
          </cell>
          <cell r="V1935" t="str">
            <v xml:space="preserve">拨叉 </v>
          </cell>
        </row>
        <row r="1936">
          <cell r="B1936" t="str">
            <v>拉索</v>
          </cell>
          <cell r="C1936" t="str">
            <v>Inhaul Cable</v>
          </cell>
          <cell r="V1936" t="str">
            <v xml:space="preserve">拉索 </v>
          </cell>
        </row>
        <row r="1937">
          <cell r="B1937" t="str">
            <v>拉索</v>
          </cell>
          <cell r="C1937" t="str">
            <v>Inhaul Cable</v>
          </cell>
          <cell r="V1937" t="str">
            <v xml:space="preserve">拉索 </v>
          </cell>
        </row>
        <row r="1938">
          <cell r="B1938" t="str">
            <v>实验拉索标签</v>
          </cell>
          <cell r="C1938" t="str">
            <v>Test Inhaul Cable Label</v>
          </cell>
          <cell r="V1938" t="str">
            <v xml:space="preserve">实验拉索标签 </v>
          </cell>
        </row>
        <row r="1939">
          <cell r="B1939" t="str">
            <v>实验拉索标签</v>
          </cell>
          <cell r="C1939" t="str">
            <v>Test Inhaul Cable Label</v>
          </cell>
          <cell r="V1939" t="str">
            <v xml:space="preserve">实验拉索标签 </v>
          </cell>
        </row>
        <row r="1940">
          <cell r="B1940" t="str">
            <v>复位拉索标签</v>
          </cell>
          <cell r="C1940" t="str">
            <v>Reset Inhaul Cable Label</v>
          </cell>
          <cell r="V1940" t="str">
            <v xml:space="preserve">复位拉索标签 </v>
          </cell>
        </row>
        <row r="1941">
          <cell r="B1941" t="str">
            <v>复位拉索标签</v>
          </cell>
          <cell r="C1941" t="str">
            <v>Reset Inhaul Cable Label</v>
          </cell>
          <cell r="V1941" t="str">
            <v xml:space="preserve">复位拉索标签 </v>
          </cell>
        </row>
        <row r="1942">
          <cell r="B1942" t="str">
            <v>质量检验合格标志</v>
          </cell>
          <cell r="C1942" t="str">
            <v>Quality Conformance Inspection Sign</v>
          </cell>
          <cell r="V1942" t="str">
            <v xml:space="preserve">质量检验合格标志 </v>
          </cell>
        </row>
        <row r="1943">
          <cell r="B1943" t="str">
            <v>质量检验合格标志</v>
          </cell>
          <cell r="C1943" t="str">
            <v>Quality Conformance Inspection Sign</v>
          </cell>
          <cell r="V1943" t="str">
            <v xml:space="preserve">质量检验合格标志 </v>
          </cell>
        </row>
        <row r="1944">
          <cell r="B1944" t="str">
            <v>扭簧</v>
          </cell>
          <cell r="C1944" t="str">
            <v>Torsional Spring</v>
          </cell>
          <cell r="V1944" t="str">
            <v xml:space="preserve">扭簧 </v>
          </cell>
        </row>
        <row r="1945">
          <cell r="B1945" t="str">
            <v>扭簧</v>
          </cell>
          <cell r="C1945" t="str">
            <v>Torsional Spring</v>
          </cell>
          <cell r="V1945" t="str">
            <v xml:space="preserve">扭簧 </v>
          </cell>
        </row>
        <row r="1946">
          <cell r="B1946" t="str">
            <v>左底板</v>
          </cell>
          <cell r="C1946" t="str">
            <v>Left Soleplate</v>
          </cell>
          <cell r="V1946" t="str">
            <v xml:space="preserve">左底板 </v>
          </cell>
        </row>
        <row r="1947">
          <cell r="B1947" t="str">
            <v>左底板</v>
          </cell>
          <cell r="C1947" t="str">
            <v>Left Soleplate</v>
          </cell>
          <cell r="V1947" t="str">
            <v xml:space="preserve">左底板 </v>
          </cell>
        </row>
        <row r="1948">
          <cell r="B1948" t="str">
            <v>右底板</v>
          </cell>
          <cell r="C1948" t="str">
            <v>Right Soleplate</v>
          </cell>
          <cell r="V1948" t="str">
            <v xml:space="preserve">右底板 </v>
          </cell>
        </row>
        <row r="1949">
          <cell r="B1949" t="str">
            <v>右底板</v>
          </cell>
          <cell r="C1949" t="str">
            <v>Right Soleplate</v>
          </cell>
          <cell r="V1949" t="str">
            <v xml:space="preserve">右底板 </v>
          </cell>
        </row>
        <row r="1950">
          <cell r="B1950" t="str">
            <v>压铆螺母</v>
          </cell>
          <cell r="C1950" t="str">
            <v>Self-clinching Nut</v>
          </cell>
          <cell r="V1950" t="str">
            <v>压铆螺母 Spec</v>
          </cell>
        </row>
        <row r="1951">
          <cell r="B1951" t="str">
            <v>压铆螺母</v>
          </cell>
          <cell r="C1951" t="str">
            <v>Self-clinching Nut</v>
          </cell>
          <cell r="V1951" t="str">
            <v>压铆螺母 S-M8-2-ZI</v>
          </cell>
        </row>
        <row r="1952">
          <cell r="B1952" t="str">
            <v>消防开关盒面板</v>
          </cell>
          <cell r="C1952" t="str">
            <v>Fire Switch Box Faceplate</v>
          </cell>
          <cell r="V1952" t="str">
            <v xml:space="preserve">消防开关盒面板 </v>
          </cell>
        </row>
        <row r="1953">
          <cell r="B1953" t="str">
            <v>消防开关盒面板</v>
          </cell>
          <cell r="C1953" t="str">
            <v>Fire Switch Box Faceplate</v>
          </cell>
          <cell r="V1953" t="str">
            <v xml:space="preserve">消防开关盒面板 </v>
          </cell>
        </row>
        <row r="1954">
          <cell r="B1954" t="str">
            <v>厅门显示箱面板</v>
          </cell>
          <cell r="C1954" t="str">
            <v>LIP Faceplate</v>
          </cell>
          <cell r="V1954" t="str">
            <v>厅门显示箱面板 Type-Optional Function-Display Board-Surface Finish</v>
          </cell>
        </row>
        <row r="1955">
          <cell r="B1955" t="str">
            <v>厅门显示箱面板</v>
          </cell>
          <cell r="C1955" t="str">
            <v>LIP Faceplate</v>
          </cell>
          <cell r="V1955" t="str">
            <v>厅门显示箱面板 HD-30D Gong MS3-SG 304/HL</v>
          </cell>
        </row>
        <row r="1956">
          <cell r="B1956" t="str">
            <v>召唤显示箱面板</v>
          </cell>
          <cell r="C1956" t="str">
            <v>LIOP Faceplate</v>
          </cell>
          <cell r="V1956" t="str">
            <v>召唤显示箱面板 Button-Direction</v>
          </cell>
        </row>
        <row r="1957">
          <cell r="B1957" t="str">
            <v>召唤显示箱面板</v>
          </cell>
          <cell r="C1957" t="str">
            <v>LIOP Faceplate</v>
          </cell>
          <cell r="V1957" t="str">
            <v>召唤显示箱面板 AN170 U/D</v>
          </cell>
        </row>
        <row r="1958">
          <cell r="B1958" t="str">
            <v>召唤箱面板</v>
          </cell>
          <cell r="C1958" t="str">
            <v>LOP Faceplate</v>
          </cell>
          <cell r="V1958" t="str">
            <v>召唤箱面板 Button-Direction</v>
          </cell>
        </row>
        <row r="1959">
          <cell r="B1959" t="str">
            <v>召唤箱面板</v>
          </cell>
          <cell r="C1959" t="str">
            <v>LOP Faceplate</v>
          </cell>
          <cell r="V1959" t="str">
            <v>召唤箱面板 AN170 U/D</v>
          </cell>
        </row>
        <row r="1960">
          <cell r="B1960" t="str">
            <v>警铃继电器板</v>
          </cell>
          <cell r="C1960" t="str">
            <v>Alarm Relay Board</v>
          </cell>
          <cell r="V1960" t="str">
            <v xml:space="preserve">警铃继电器板 </v>
          </cell>
        </row>
        <row r="1961">
          <cell r="B1961" t="str">
            <v>警铃继电器板</v>
          </cell>
          <cell r="C1961" t="str">
            <v>Alarm Relay Board</v>
          </cell>
          <cell r="V1961" t="str">
            <v xml:space="preserve">警铃继电器板 </v>
          </cell>
        </row>
        <row r="1962">
          <cell r="B1962" t="str">
            <v>镀锡钢板</v>
          </cell>
          <cell r="C1962" t="str">
            <v>Tin Plate</v>
          </cell>
          <cell r="V1962" t="str">
            <v>镀锡钢板 Size(mm)-Material-Standard Code</v>
          </cell>
        </row>
        <row r="1963">
          <cell r="B1963" t="str">
            <v>镀锡钢板</v>
          </cell>
          <cell r="C1963" t="str">
            <v>Tin Plate</v>
          </cell>
          <cell r="V1963" t="str">
            <v>镀锡钢板 0.5*1250*2500 Q235A GB/T2520</v>
          </cell>
        </row>
        <row r="1964">
          <cell r="B1964" t="str">
            <v>控制柜底座组件</v>
          </cell>
          <cell r="C1964" t="str">
            <v>Controller Base Assy</v>
          </cell>
          <cell r="V1964" t="str">
            <v xml:space="preserve">控制柜底座组件 </v>
          </cell>
        </row>
        <row r="1965">
          <cell r="B1965" t="str">
            <v>控制柜底座组件</v>
          </cell>
          <cell r="C1965" t="str">
            <v>Controller Base Assy</v>
          </cell>
          <cell r="V1965" t="str">
            <v xml:space="preserve">控制柜底座组件 </v>
          </cell>
        </row>
        <row r="1966">
          <cell r="B1966" t="str">
            <v>隔板组件</v>
          </cell>
          <cell r="C1966" t="str">
            <v>Clapboard Assy</v>
          </cell>
          <cell r="V1966" t="str">
            <v xml:space="preserve">隔板组件 </v>
          </cell>
        </row>
        <row r="1967">
          <cell r="B1967" t="str">
            <v>隔板组件</v>
          </cell>
          <cell r="C1967" t="str">
            <v>Clapboard Assy</v>
          </cell>
          <cell r="V1967" t="str">
            <v xml:space="preserve">隔板组件 </v>
          </cell>
        </row>
        <row r="1968">
          <cell r="B1968" t="str">
            <v>轿厢照明及风扇电源电缆</v>
          </cell>
          <cell r="C1968" t="str">
            <v>Car Lighting &amp; Fan P/Cable</v>
          </cell>
          <cell r="V1968" t="str">
            <v xml:space="preserve">轿厢照明及风扇电源电缆 </v>
          </cell>
        </row>
        <row r="1969">
          <cell r="B1969" t="str">
            <v>轿厢照明及风扇电源电缆</v>
          </cell>
          <cell r="C1969" t="str">
            <v>Car Lighting &amp; Fan P/Cable</v>
          </cell>
          <cell r="V1969" t="str">
            <v xml:space="preserve">轿厢照明及风扇电源电缆 </v>
          </cell>
        </row>
        <row r="1970">
          <cell r="B1970" t="str">
            <v>门电机电源及控制电缆</v>
          </cell>
          <cell r="C1970" t="str">
            <v>Door Machine P&amp;C Cable</v>
          </cell>
          <cell r="V1970" t="str">
            <v xml:space="preserve">门电机电源及控制电缆 </v>
          </cell>
        </row>
        <row r="1971">
          <cell r="B1971" t="str">
            <v>门电机电源及控制电缆</v>
          </cell>
          <cell r="C1971" t="str">
            <v>Door Machine  P&amp;C Cable</v>
          </cell>
          <cell r="V1971" t="str">
            <v xml:space="preserve">门电机电源及控制电缆 </v>
          </cell>
        </row>
        <row r="1972">
          <cell r="B1972" t="str">
            <v>轿顶-主COP控制电缆</v>
          </cell>
          <cell r="C1972" t="str">
            <v>Car Roof-Main COP C/Cable</v>
          </cell>
          <cell r="V1972" t="str">
            <v xml:space="preserve">轿顶-主COP控制电缆 </v>
          </cell>
        </row>
        <row r="1973">
          <cell r="B1973" t="str">
            <v>轿顶-主COP控制电缆</v>
          </cell>
          <cell r="C1973" t="str">
            <v>Car Roof-Main COP C/Cable</v>
          </cell>
          <cell r="V1973" t="str">
            <v xml:space="preserve">轿顶-主COP控制电缆 </v>
          </cell>
        </row>
        <row r="1974">
          <cell r="B1974" t="str">
            <v>应急灯对讲机及风扇开关电缆</v>
          </cell>
          <cell r="C1974" t="str">
            <v>Emergency Lamp &amp; Intercom &amp; Fan S/Cable</v>
          </cell>
          <cell r="V1974" t="str">
            <v xml:space="preserve">应急灯对讲机及风扇开关电缆 </v>
          </cell>
        </row>
        <row r="1975">
          <cell r="B1975" t="str">
            <v>应急灯对讲机及风扇开关电缆</v>
          </cell>
          <cell r="C1975" t="str">
            <v>Emergency Lamp &amp; Intercom &amp; Fan S/Cable</v>
          </cell>
          <cell r="V1975" t="str">
            <v xml:space="preserve">应急灯对讲机及风扇开关电缆 </v>
          </cell>
        </row>
        <row r="1976">
          <cell r="B1976" t="str">
            <v>一体式变频器</v>
          </cell>
          <cell r="C1976" t="str">
            <v>Integrated Inverter</v>
          </cell>
          <cell r="V1976" t="str">
            <v>一体式变频器 Type</v>
          </cell>
        </row>
        <row r="1977">
          <cell r="B1977" t="str">
            <v>一体式变频器</v>
          </cell>
          <cell r="C1977" t="str">
            <v>Integrated Inverter</v>
          </cell>
          <cell r="V1977" t="str">
            <v>一体式变频器 CPIC-8</v>
          </cell>
        </row>
        <row r="1978">
          <cell r="B1978" t="str">
            <v>控制柜-变频器柜信号控制电缆</v>
          </cell>
          <cell r="C1978" t="str">
            <v>Ctr-Inverter Ctr Signal Control Cable</v>
          </cell>
          <cell r="V1978" t="str">
            <v xml:space="preserve">控制柜-变频器柜信号控制电缆 </v>
          </cell>
        </row>
        <row r="1979">
          <cell r="B1979" t="str">
            <v>控制柜-变频器柜信号控制电缆</v>
          </cell>
          <cell r="C1979" t="str">
            <v>Ctr-Inverter Ctr Signal Control Cable</v>
          </cell>
          <cell r="V1979" t="str">
            <v xml:space="preserve">控制柜-变频器柜信号控制电缆 </v>
          </cell>
        </row>
        <row r="1980">
          <cell r="B1980" t="str">
            <v>锁梯装置电缆</v>
          </cell>
          <cell r="C1980" t="str">
            <v>Lock Lift Device Cable</v>
          </cell>
          <cell r="V1980" t="str">
            <v xml:space="preserve">锁梯装置电缆 </v>
          </cell>
        </row>
        <row r="1981">
          <cell r="B1981" t="str">
            <v>锁梯装置电缆</v>
          </cell>
          <cell r="C1981" t="str">
            <v>Lock Lift Device Cable</v>
          </cell>
          <cell r="V1981" t="str">
            <v xml:space="preserve">锁梯装置电缆 </v>
          </cell>
        </row>
        <row r="1982">
          <cell r="B1982" t="str">
            <v>CPI-主板位置信号电缆</v>
          </cell>
          <cell r="C1982" t="str">
            <v>CPI-Mainboard Location Signal Cable</v>
          </cell>
          <cell r="V1982" t="str">
            <v xml:space="preserve">CPI-主板位置信号电缆 </v>
          </cell>
        </row>
        <row r="1983">
          <cell r="B1983" t="str">
            <v>CPI-主板位置信号电缆</v>
          </cell>
          <cell r="C1983" t="str">
            <v>CPI-Mainboard Location Signal Cable</v>
          </cell>
          <cell r="V1983" t="str">
            <v xml:space="preserve">CPI-主板位置信号电缆 </v>
          </cell>
        </row>
        <row r="1984">
          <cell r="B1984" t="str">
            <v>CPI-主板速度信号电缆</v>
          </cell>
          <cell r="C1984" t="str">
            <v>CPI-Mainboard Speed Signal Cable</v>
          </cell>
          <cell r="V1984" t="str">
            <v xml:space="preserve">CPI-主板速度信号电缆 </v>
          </cell>
        </row>
        <row r="1985">
          <cell r="B1985" t="str">
            <v>CPI-主板速度信号电缆</v>
          </cell>
          <cell r="C1985" t="str">
            <v>CPI-Mainboard Speed Signal Cable</v>
          </cell>
          <cell r="V1985" t="str">
            <v xml:space="preserve">CPI-主板速度信号电缆 </v>
          </cell>
        </row>
        <row r="1986">
          <cell r="B1986" t="str">
            <v>变频器调试加长电缆</v>
          </cell>
          <cell r="C1986" t="str">
            <v>Inverter Diagnostic Lengthening Cable</v>
          </cell>
          <cell r="V1986" t="str">
            <v xml:space="preserve">变频器调试加长电缆 </v>
          </cell>
        </row>
        <row r="1987">
          <cell r="B1987" t="str">
            <v>变频器调试加长电缆</v>
          </cell>
          <cell r="C1987" t="str">
            <v>Inverter Diagnostic Lengthening Cable</v>
          </cell>
          <cell r="V1987" t="str">
            <v xml:space="preserve">变频器调试加长电缆 </v>
          </cell>
        </row>
        <row r="1988">
          <cell r="B1988" t="str">
            <v>外召通讯电缆中继器分支</v>
          </cell>
          <cell r="C1988" t="str">
            <v>Landing C/Cable Amplifier Branch</v>
          </cell>
          <cell r="V1988" t="str">
            <v xml:space="preserve">外召通讯电缆中继器分支 </v>
          </cell>
        </row>
        <row r="1989">
          <cell r="B1989" t="str">
            <v>外召通讯电缆中继器分支</v>
          </cell>
          <cell r="C1989" t="str">
            <v>Landing C/Cable Amplifier Branch</v>
          </cell>
          <cell r="V1989" t="str">
            <v xml:space="preserve">外召通讯电缆中继器分支 </v>
          </cell>
        </row>
        <row r="1990">
          <cell r="B1990" t="str">
            <v>井道电缆固定组件</v>
          </cell>
          <cell r="C1990" t="str">
            <v>Shaft Cable Fixing Assy</v>
          </cell>
          <cell r="V1990" t="str">
            <v xml:space="preserve">井道电缆固定组件 </v>
          </cell>
        </row>
        <row r="1991">
          <cell r="B1991" t="str">
            <v>井道电缆固定组件</v>
          </cell>
          <cell r="C1991" t="str">
            <v>Shaft Cable Fixing Assy</v>
          </cell>
          <cell r="V1991" t="str">
            <v xml:space="preserve">井道电缆固定组件 </v>
          </cell>
        </row>
        <row r="1992">
          <cell r="B1992" t="str">
            <v>手柄套</v>
          </cell>
          <cell r="C1992" t="str">
            <v>Taper Knobs</v>
          </cell>
          <cell r="V1992" t="str">
            <v>手柄套 Type-Spec-Color
(R-Red, B-Black)-Standard Code</v>
          </cell>
        </row>
        <row r="1993">
          <cell r="B1993" t="str">
            <v>手柄套</v>
          </cell>
          <cell r="C1993" t="str">
            <v>Taper Knobs</v>
          </cell>
          <cell r="V1993" t="str">
            <v>手柄套 A M10*20 R JB/T7271.3</v>
          </cell>
        </row>
        <row r="1994">
          <cell r="B1994" t="str">
            <v>位置标签</v>
          </cell>
          <cell r="C1994" t="str">
            <v>Position Label</v>
          </cell>
          <cell r="V1994" t="str">
            <v xml:space="preserve">位置标签 </v>
          </cell>
        </row>
        <row r="1995">
          <cell r="B1995" t="str">
            <v>位置标签</v>
          </cell>
          <cell r="C1995" t="str">
            <v>Position Label</v>
          </cell>
          <cell r="V1995" t="str">
            <v xml:space="preserve">位置标签 </v>
          </cell>
        </row>
        <row r="1996">
          <cell r="B1996" t="str">
            <v>制动轮毛坯</v>
          </cell>
          <cell r="C1996" t="str">
            <v>Brake Drum Casting</v>
          </cell>
          <cell r="V1996" t="str">
            <v>制动轮毛坯 Brake drum dia.(mm)-Material</v>
          </cell>
        </row>
        <row r="1997">
          <cell r="B1997" t="str">
            <v>制动轮毛坯</v>
          </cell>
          <cell r="C1997" t="str">
            <v>Brake Drum Casting</v>
          </cell>
          <cell r="V1997" t="str">
            <v>制动轮毛坯 D515 HT250</v>
          </cell>
        </row>
        <row r="1998">
          <cell r="B1998" t="str">
            <v>曳引轮毛坯</v>
          </cell>
          <cell r="C1998" t="str">
            <v>T. Pulley Casting</v>
          </cell>
          <cell r="V1998" t="str">
            <v>曳引轮毛坯 Pulley Dia.(mm)-Material</v>
          </cell>
        </row>
        <row r="1999">
          <cell r="B1999" t="str">
            <v>曳引轮毛坯</v>
          </cell>
          <cell r="C1999" t="str">
            <v>T. Pulley Casting</v>
          </cell>
          <cell r="V1999" t="str">
            <v>曳引轮毛坯 D720 HT150</v>
          </cell>
        </row>
        <row r="2000">
          <cell r="B2000" t="str">
            <v>机座毛坯</v>
          </cell>
          <cell r="C2000" t="str">
            <v>Housing Casting</v>
          </cell>
          <cell r="V2000" t="str">
            <v>机座毛坯 Material</v>
          </cell>
        </row>
        <row r="2001">
          <cell r="B2001" t="str">
            <v>机座毛坯</v>
          </cell>
          <cell r="C2001" t="str">
            <v>Housing Casting</v>
          </cell>
          <cell r="V2001" t="str">
            <v>机座毛坯 HT250</v>
          </cell>
        </row>
        <row r="2002">
          <cell r="B2002" t="str">
            <v>制动轮半成品</v>
          </cell>
          <cell r="C2002" t="str">
            <v>Semi-finished Brake Drum</v>
          </cell>
          <cell r="V2002" t="str">
            <v>制动轮半成品 Brake drum dia.(mm)-Material</v>
          </cell>
        </row>
        <row r="2003">
          <cell r="B2003" t="str">
            <v>制动轮半成品</v>
          </cell>
          <cell r="C2003" t="str">
            <v>Semi-finished Brake Drum</v>
          </cell>
          <cell r="V2003" t="str">
            <v>制动轮半成品 D515 HT250</v>
          </cell>
        </row>
        <row r="2004">
          <cell r="B2004" t="str">
            <v>曳引轮半成品</v>
          </cell>
          <cell r="C2004" t="str">
            <v>Semi-finished T. Pulley</v>
          </cell>
          <cell r="V2004" t="str">
            <v>曳引轮半成品 Pulley Dia.(mm)-Material</v>
          </cell>
        </row>
        <row r="2005">
          <cell r="B2005" t="str">
            <v>曳引轮半成品</v>
          </cell>
          <cell r="C2005" t="str">
            <v>Semi-finished T. Pulley</v>
          </cell>
          <cell r="V2005" t="str">
            <v>曳引轮半成品 D720 HT150</v>
          </cell>
        </row>
        <row r="2006">
          <cell r="B2006" t="str">
            <v>橡胶钉</v>
          </cell>
          <cell r="C2006" t="str">
            <v>Rubber Nail</v>
          </cell>
          <cell r="V2006" t="str">
            <v xml:space="preserve">橡胶钉 </v>
          </cell>
        </row>
        <row r="2007">
          <cell r="B2007" t="str">
            <v>橡胶钉</v>
          </cell>
          <cell r="C2007" t="str">
            <v>Rubber Nail</v>
          </cell>
          <cell r="V2007" t="str">
            <v xml:space="preserve">橡胶钉 </v>
          </cell>
        </row>
        <row r="2008">
          <cell r="B2008" t="str">
            <v>轴半成品</v>
          </cell>
          <cell r="C2008" t="str">
            <v>Semi-finished Axle</v>
          </cell>
          <cell r="V2008" t="str">
            <v>轴半成品 Material</v>
          </cell>
        </row>
        <row r="2009">
          <cell r="B2009" t="str">
            <v>轴半成品</v>
          </cell>
          <cell r="C2009" t="str">
            <v>Semi-finished Axle</v>
          </cell>
          <cell r="V2009" t="str">
            <v xml:space="preserve">轴半成品 </v>
          </cell>
        </row>
        <row r="2010">
          <cell r="B2010" t="str">
            <v>制动弹簧标尺</v>
          </cell>
          <cell r="C2010" t="str">
            <v>Brake Spring Ruler</v>
          </cell>
          <cell r="V2010" t="str">
            <v xml:space="preserve">制动弹簧标尺 </v>
          </cell>
        </row>
        <row r="2011">
          <cell r="B2011" t="str">
            <v>制动弹簧标尺</v>
          </cell>
          <cell r="C2011" t="str">
            <v>Brake Spring Ruler</v>
          </cell>
          <cell r="V2011" t="str">
            <v xml:space="preserve">制动弹簧标尺 </v>
          </cell>
        </row>
        <row r="2012">
          <cell r="B2012" t="str">
            <v>释放杆附件</v>
          </cell>
          <cell r="C2012" t="str">
            <v>Releasing Bar Accessories</v>
          </cell>
          <cell r="V2012" t="str">
            <v xml:space="preserve">释放杆附件 </v>
          </cell>
        </row>
        <row r="2013">
          <cell r="B2013" t="str">
            <v>释放杆附件</v>
          </cell>
          <cell r="C2013" t="str">
            <v>Releasing Bar Accessories</v>
          </cell>
          <cell r="V2013" t="str">
            <v xml:space="preserve">释放杆附件 </v>
          </cell>
        </row>
        <row r="2014">
          <cell r="B2014" t="str">
            <v>钢丝绳润滑油</v>
          </cell>
          <cell r="C2014" t="str">
            <v>Steel Wire Rope Lubricant</v>
          </cell>
          <cell r="V2014" t="str">
            <v>钢丝绳润滑油 Type</v>
          </cell>
        </row>
        <row r="2015">
          <cell r="B2015" t="str">
            <v>钢丝绳润滑油</v>
          </cell>
          <cell r="C2015" t="str">
            <v>Steel Wire Rope Lubricant</v>
          </cell>
          <cell r="V2015" t="str">
            <v>钢丝绳润滑油 DRAKO-LUBE</v>
          </cell>
        </row>
        <row r="2016">
          <cell r="B2016" t="str">
            <v>电梯紧急通讯报警系统电源</v>
          </cell>
          <cell r="C2016" t="str">
            <v>EIAS Power</v>
          </cell>
          <cell r="V2016" t="str">
            <v>电梯紧急通讯报警系统电源 Type</v>
          </cell>
        </row>
        <row r="2017">
          <cell r="B2017" t="str">
            <v>电梯紧急通讯报警系统电源</v>
          </cell>
          <cell r="C2017" t="str">
            <v>EIAS Power</v>
          </cell>
          <cell r="V2017" t="str">
            <v xml:space="preserve">电梯紧急通讯报警系统电源 </v>
          </cell>
        </row>
        <row r="2018">
          <cell r="B2018" t="str">
            <v>二极管组件</v>
          </cell>
          <cell r="C2018" t="str">
            <v>Diode Assy</v>
          </cell>
          <cell r="V2018" t="str">
            <v>二极管组件 Type</v>
          </cell>
        </row>
        <row r="2019">
          <cell r="B2019" t="str">
            <v>二极管组件</v>
          </cell>
          <cell r="C2019" t="str">
            <v>Diode Assy</v>
          </cell>
          <cell r="V2019" t="str">
            <v>二极管组件 1N5994</v>
          </cell>
        </row>
        <row r="2020">
          <cell r="B2020" t="str">
            <v>支撑垫</v>
          </cell>
          <cell r="C2020" t="str">
            <v>Supporting Pad</v>
          </cell>
          <cell r="V2020" t="str">
            <v xml:space="preserve">支撑垫 </v>
          </cell>
        </row>
        <row r="2021">
          <cell r="B2021" t="str">
            <v>支撑垫</v>
          </cell>
          <cell r="C2021" t="str">
            <v>Supporting Pad</v>
          </cell>
          <cell r="V2021" t="str">
            <v xml:space="preserve">支撑垫 </v>
          </cell>
        </row>
        <row r="2022">
          <cell r="B2022" t="str">
            <v>衔铁组件</v>
          </cell>
          <cell r="C2022" t="str">
            <v>Armature Assy</v>
          </cell>
          <cell r="V2022" t="str">
            <v xml:space="preserve">衔铁组件 </v>
          </cell>
        </row>
        <row r="2023">
          <cell r="B2023" t="str">
            <v>衔铁组件</v>
          </cell>
          <cell r="C2023" t="str">
            <v>Armature Assy</v>
          </cell>
          <cell r="V2023" t="str">
            <v xml:space="preserve">衔铁组件 </v>
          </cell>
        </row>
        <row r="2024">
          <cell r="B2024" t="str">
            <v>制动片座</v>
          </cell>
          <cell r="C2024" t="str">
            <v>Lining House</v>
          </cell>
          <cell r="V2024" t="str">
            <v xml:space="preserve">制动片座 </v>
          </cell>
        </row>
        <row r="2025">
          <cell r="B2025" t="str">
            <v>制动片座</v>
          </cell>
          <cell r="C2025" t="str">
            <v>Lining House</v>
          </cell>
          <cell r="V2025" t="str">
            <v xml:space="preserve">制动片座 </v>
          </cell>
        </row>
        <row r="2026">
          <cell r="B2026" t="str">
            <v>固体润滑轴承</v>
          </cell>
          <cell r="C2026" t="str">
            <v>Solid Lubricant Bearings</v>
          </cell>
          <cell r="V2026" t="str">
            <v>固体润滑轴承 Type-Standard Code</v>
          </cell>
        </row>
        <row r="2027">
          <cell r="B2027" t="str">
            <v>固体润滑轴承</v>
          </cell>
          <cell r="C2027" t="str">
            <v>Solid Lubricant Bearings</v>
          </cell>
          <cell r="V2027" t="str">
            <v>固体润滑轴承 GB/T23894</v>
          </cell>
        </row>
        <row r="2028">
          <cell r="B2028" t="str">
            <v>VR型橡胶密封圈</v>
          </cell>
          <cell r="C2028" t="str">
            <v>VR Rubber Ring</v>
          </cell>
          <cell r="V2028" t="str">
            <v>VR型橡胶密封圈 Spec.</v>
          </cell>
        </row>
        <row r="2029">
          <cell r="B2029" t="str">
            <v>VR型橡胶密封圈</v>
          </cell>
          <cell r="C2029" t="str">
            <v>VR Rubber Ring</v>
          </cell>
          <cell r="V2029" t="str">
            <v>VR型橡胶密封圈 55</v>
          </cell>
        </row>
        <row r="2030">
          <cell r="B2030" t="str">
            <v>框架横梁组件</v>
          </cell>
          <cell r="C2030" t="str">
            <v>Frame Transom Assy</v>
          </cell>
          <cell r="V2030" t="str">
            <v xml:space="preserve">框架横梁组件 </v>
          </cell>
        </row>
        <row r="2031">
          <cell r="B2031" t="str">
            <v>框架横梁组件</v>
          </cell>
          <cell r="C2031" t="str">
            <v>Frame Transom Assy</v>
          </cell>
          <cell r="V2031" t="str">
            <v xml:space="preserve">框架横梁组件 </v>
          </cell>
        </row>
        <row r="2032">
          <cell r="B2032" t="str">
            <v>卸扣</v>
          </cell>
          <cell r="C2032" t="str">
            <v>Shackle</v>
          </cell>
          <cell r="V2032" t="str">
            <v>卸扣 Spec.-Standard Code</v>
          </cell>
        </row>
        <row r="2033">
          <cell r="B2033" t="str">
            <v>卸扣</v>
          </cell>
          <cell r="C2033" t="str">
            <v>Shackle</v>
          </cell>
          <cell r="V2033" t="str">
            <v>卸扣 4-DW20 GB/T25854</v>
          </cell>
        </row>
        <row r="2034">
          <cell r="B2034" t="str">
            <v>卸扣扣体</v>
          </cell>
          <cell r="C2034" t="str">
            <v>Shackle Body</v>
          </cell>
          <cell r="V2034" t="str">
            <v xml:space="preserve">卸扣扣体 </v>
          </cell>
        </row>
        <row r="2035">
          <cell r="B2035" t="str">
            <v>卸扣扣体</v>
          </cell>
          <cell r="C2035" t="str">
            <v>Shackle Body</v>
          </cell>
          <cell r="V2035" t="str">
            <v xml:space="preserve">卸扣扣体 </v>
          </cell>
        </row>
        <row r="2036">
          <cell r="B2036" t="str">
            <v>导轨填充物</v>
          </cell>
          <cell r="C2036" t="str">
            <v>Guide Rail Filling</v>
          </cell>
          <cell r="V2036" t="str">
            <v>导轨填充物 Material</v>
          </cell>
        </row>
        <row r="2037">
          <cell r="B2037" t="str">
            <v>导轨填充物</v>
          </cell>
          <cell r="C2037" t="str">
            <v>Guide Rail Filling</v>
          </cell>
          <cell r="V2037" t="str">
            <v>导轨填充物 EPSF</v>
          </cell>
        </row>
        <row r="2038">
          <cell r="B2038" t="str">
            <v>塑封膜</v>
          </cell>
          <cell r="C2038" t="str">
            <v>Laminating Sheets</v>
          </cell>
          <cell r="V2038" t="str">
            <v>塑封膜 Size(mm)-Material</v>
          </cell>
        </row>
        <row r="2039">
          <cell r="B2039" t="str">
            <v>塑封膜</v>
          </cell>
          <cell r="C2039" t="str">
            <v>Laminating Sheets</v>
          </cell>
          <cell r="V2039" t="str">
            <v>塑封膜 0.2*297*210 PE</v>
          </cell>
        </row>
        <row r="2040">
          <cell r="B2040" t="str">
            <v>纸板</v>
          </cell>
          <cell r="C2040" t="str">
            <v>Paperboard</v>
          </cell>
          <cell r="V2040" t="str">
            <v>纸板 Thickness(mm)</v>
          </cell>
        </row>
        <row r="2041">
          <cell r="B2041" t="str">
            <v>纸板</v>
          </cell>
          <cell r="C2041" t="str">
            <v>Paperboard</v>
          </cell>
          <cell r="V2041" t="str">
            <v>纸板 t1.0</v>
          </cell>
        </row>
        <row r="2042">
          <cell r="B2042" t="str">
            <v>提示标志</v>
          </cell>
          <cell r="C2042" t="str">
            <v>Information Sign</v>
          </cell>
          <cell r="V2042" t="str">
            <v xml:space="preserve">提示标志 </v>
          </cell>
        </row>
        <row r="2043">
          <cell r="B2043" t="str">
            <v>提示标志</v>
          </cell>
          <cell r="C2043" t="str">
            <v>Information Sign</v>
          </cell>
          <cell r="V2043" t="str">
            <v xml:space="preserve">提示标志 </v>
          </cell>
        </row>
        <row r="2044">
          <cell r="B2044" t="str">
            <v>球面垫圈</v>
          </cell>
          <cell r="C2044" t="str">
            <v>Washer with Ball Face</v>
          </cell>
          <cell r="V2044" t="str">
            <v>球面垫圈 Spec.-Standard Code</v>
          </cell>
        </row>
        <row r="2045">
          <cell r="B2045" t="str">
            <v>球面垫圈</v>
          </cell>
          <cell r="C2045" t="str">
            <v>Washer with Ball Face</v>
          </cell>
          <cell r="V2045" t="str">
            <v>球面垫圈 C17 DIN6319</v>
          </cell>
        </row>
        <row r="2046">
          <cell r="B2046" t="str">
            <v>锥面垫圈</v>
          </cell>
          <cell r="C2046" t="str">
            <v>Washer with Cone Face</v>
          </cell>
          <cell r="V2046" t="str">
            <v>锥面垫圈 Spec.-Standard Code</v>
          </cell>
        </row>
        <row r="2047">
          <cell r="B2047" t="str">
            <v>锥面垫圈</v>
          </cell>
          <cell r="C2047" t="str">
            <v>Washer with Cone Face</v>
          </cell>
          <cell r="V2047" t="str">
            <v>锥面垫圈 D19 DIN6319</v>
          </cell>
        </row>
        <row r="2048">
          <cell r="B2048" t="str">
            <v>包装袋</v>
          </cell>
          <cell r="C2048" t="str">
            <v>Packing Bag</v>
          </cell>
          <cell r="V2048" t="str">
            <v xml:space="preserve">包装袋 </v>
          </cell>
        </row>
        <row r="2049">
          <cell r="B2049" t="str">
            <v>包装袋</v>
          </cell>
          <cell r="C2049" t="str">
            <v>Packing Bag</v>
          </cell>
          <cell r="V2049" t="str">
            <v xml:space="preserve">包装袋 </v>
          </cell>
        </row>
        <row r="2050">
          <cell r="B2050" t="str">
            <v>电梯标志</v>
          </cell>
          <cell r="C2050" t="str">
            <v>Lift Sign</v>
          </cell>
          <cell r="V2050" t="str">
            <v>电梯标志 Language-MR/MRL</v>
          </cell>
        </row>
        <row r="2051">
          <cell r="B2051" t="str">
            <v>电梯标志</v>
          </cell>
          <cell r="C2051" t="str">
            <v>Lift Sign</v>
          </cell>
          <cell r="V2051" t="str">
            <v>电梯标志 EN MR</v>
          </cell>
        </row>
        <row r="2052">
          <cell r="B2052" t="str">
            <v>安全标志</v>
          </cell>
          <cell r="C2052" t="str">
            <v>Safety Sign</v>
          </cell>
          <cell r="V2052" t="str">
            <v xml:space="preserve">安全标志 </v>
          </cell>
        </row>
        <row r="2053">
          <cell r="B2053" t="str">
            <v>安全标志</v>
          </cell>
          <cell r="C2053" t="str">
            <v>Safety Sign</v>
          </cell>
          <cell r="V2053" t="str">
            <v xml:space="preserve">安全标志 </v>
          </cell>
        </row>
        <row r="2054">
          <cell r="B2054" t="str">
            <v>安全钳壳体</v>
          </cell>
          <cell r="C2054" t="str">
            <v>Safety Gear Frame</v>
          </cell>
          <cell r="V2054" t="str">
            <v>安全钳壳体 Material</v>
          </cell>
        </row>
        <row r="2055">
          <cell r="B2055" t="str">
            <v>安全钳壳体</v>
          </cell>
          <cell r="C2055" t="str">
            <v>Safety Gear Frame</v>
          </cell>
          <cell r="V2055" t="str">
            <v>安全钳壳体 QT500-7</v>
          </cell>
        </row>
        <row r="2056">
          <cell r="B2056" t="str">
            <v>安全钳附件</v>
          </cell>
          <cell r="C2056" t="str">
            <v>Safety Gear Accessories</v>
          </cell>
          <cell r="V2056" t="str">
            <v xml:space="preserve">安全钳附件 </v>
          </cell>
        </row>
        <row r="2057">
          <cell r="B2057" t="str">
            <v>安全钳附件</v>
          </cell>
          <cell r="C2057" t="str">
            <v>Safety Gear Accessories</v>
          </cell>
          <cell r="V2057" t="str">
            <v xml:space="preserve">安全钳附件 </v>
          </cell>
        </row>
        <row r="2058">
          <cell r="B2058" t="str">
            <v>锥套</v>
          </cell>
          <cell r="C2058" t="str">
            <v>Taper Sleeve</v>
          </cell>
          <cell r="V2058" t="str">
            <v xml:space="preserve">锥套 </v>
          </cell>
        </row>
        <row r="2059">
          <cell r="B2059" t="str">
            <v>锥套</v>
          </cell>
          <cell r="C2059" t="str">
            <v>Taper Sleeve</v>
          </cell>
          <cell r="V2059" t="str">
            <v xml:space="preserve">锥套 </v>
          </cell>
        </row>
        <row r="2060">
          <cell r="B2060" t="str">
            <v>无花镀锌钢板</v>
          </cell>
          <cell r="C2060" t="str">
            <v>Zero Spangle Galvanized S. Plate</v>
          </cell>
          <cell r="V2060" t="str">
            <v>无花镀锌钢板 Size-Material-Standard Code</v>
          </cell>
        </row>
        <row r="2061">
          <cell r="B2061" t="str">
            <v>无花镀锌钢板</v>
          </cell>
          <cell r="C2061" t="str">
            <v>Zero Spangle Galvanized S. Plate</v>
          </cell>
          <cell r="V2061" t="str">
            <v>无花镀锌钢板 2.5*1250*2500  Q235A  GB2518</v>
          </cell>
        </row>
        <row r="2062">
          <cell r="B2062" t="str">
            <v>铝板</v>
          </cell>
          <cell r="C2062" t="str">
            <v>Al Plate</v>
          </cell>
          <cell r="V2062" t="str">
            <v>铝板 Size(mm)-Material-Standard Cord</v>
          </cell>
        </row>
        <row r="2063">
          <cell r="B2063" t="str">
            <v>铝板</v>
          </cell>
          <cell r="C2063" t="str">
            <v>Al Plate</v>
          </cell>
          <cell r="V2063" t="str">
            <v>铝板 1.0*1200*20001A97-FGB/T3880.1</v>
          </cell>
        </row>
        <row r="2064">
          <cell r="B2064" t="str">
            <v>铝合金板</v>
          </cell>
          <cell r="C2064" t="str">
            <v>Al Alloy Plate</v>
          </cell>
          <cell r="V2064" t="str">
            <v>铝合金板 Size(mm)-Material-Standard Cord</v>
          </cell>
        </row>
        <row r="2065">
          <cell r="B2065" t="str">
            <v>铝合金板</v>
          </cell>
          <cell r="C2065" t="str">
            <v>Al Alloy Plate</v>
          </cell>
          <cell r="V2065" t="str">
            <v>铝合金板 1.0*1200*20003003-H22GB/T3880.1</v>
          </cell>
        </row>
        <row r="2066">
          <cell r="B2066" t="str">
            <v>解码器连接电缆</v>
          </cell>
          <cell r="C2066" t="str">
            <v>Decoder Connection Cable</v>
          </cell>
          <cell r="V2066" t="str">
            <v xml:space="preserve">解码器连接电缆 </v>
          </cell>
        </row>
        <row r="2067">
          <cell r="B2067" t="str">
            <v>解码器连接电缆</v>
          </cell>
          <cell r="C2067" t="str">
            <v>Decoder Connection Cable</v>
          </cell>
          <cell r="V2067" t="str">
            <v xml:space="preserve">解码器连接电缆 </v>
          </cell>
        </row>
        <row r="2068">
          <cell r="B2068" t="str">
            <v>井道线槽</v>
          </cell>
          <cell r="C2068" t="str">
            <v>Shaft Trunking</v>
          </cell>
          <cell r="V2068" t="str">
            <v xml:space="preserve">井道线槽 </v>
          </cell>
        </row>
        <row r="2069">
          <cell r="B2069" t="str">
            <v>井道线槽</v>
          </cell>
          <cell r="C2069" t="str">
            <v>Shaft Trunking</v>
          </cell>
          <cell r="V2069" t="str">
            <v xml:space="preserve">井道线槽 </v>
          </cell>
        </row>
        <row r="2070">
          <cell r="B2070" t="str">
            <v>线槽包塑钢丝绳</v>
          </cell>
          <cell r="C2070" t="str">
            <v>Trunking Plastic Coated Steel Wire Rope</v>
          </cell>
          <cell r="V2070" t="str">
            <v xml:space="preserve">线槽包塑钢丝绳 </v>
          </cell>
        </row>
        <row r="2071">
          <cell r="B2071" t="str">
            <v>线槽包塑钢丝绳</v>
          </cell>
          <cell r="C2071" t="str">
            <v>Trunking Plastic Coated Steel Wire Rope</v>
          </cell>
          <cell r="V2071" t="str">
            <v xml:space="preserve">线槽包塑钢丝绳 </v>
          </cell>
        </row>
        <row r="2072">
          <cell r="B2072" t="str">
            <v>井道线槽安装附件</v>
          </cell>
          <cell r="C2072" t="str">
            <v>Shaft Trunking Fix Accessories</v>
          </cell>
          <cell r="V2072" t="str">
            <v xml:space="preserve">井道线槽安装附件 </v>
          </cell>
        </row>
        <row r="2073">
          <cell r="B2073" t="str">
            <v>井道线槽安装附件</v>
          </cell>
          <cell r="C2073" t="str">
            <v>Shaft Trunking Fix Accessories</v>
          </cell>
          <cell r="V2073" t="str">
            <v xml:space="preserve">井道线槽安装附件 </v>
          </cell>
        </row>
        <row r="2074">
          <cell r="B2074" t="str">
            <v>对重框架立柱组件</v>
          </cell>
          <cell r="C2074" t="str">
            <v>CWT Frame Post Assy</v>
          </cell>
          <cell r="V2074" t="str">
            <v xml:space="preserve">对重框架立柱组件 </v>
          </cell>
        </row>
        <row r="2075">
          <cell r="B2075" t="str">
            <v>对重框架立柱组件</v>
          </cell>
          <cell r="C2075" t="str">
            <v>CWT Frame Post Assy</v>
          </cell>
          <cell r="V2075" t="str">
            <v xml:space="preserve">对重框架立柱组件 </v>
          </cell>
        </row>
        <row r="2076">
          <cell r="B2076" t="str">
            <v>导轨支架安装附件</v>
          </cell>
          <cell r="C2076" t="str">
            <v>Guide Rail Bracket Fix Accessories</v>
          </cell>
          <cell r="V2076" t="str">
            <v xml:space="preserve">导轨支架安装附件 </v>
          </cell>
        </row>
        <row r="2077">
          <cell r="B2077" t="str">
            <v>导轨支架安装附件</v>
          </cell>
          <cell r="C2077" t="str">
            <v>Guide Rail Bracket Fix Accessories</v>
          </cell>
          <cell r="V2077" t="str">
            <v xml:space="preserve">导轨支架安装附件 </v>
          </cell>
        </row>
        <row r="2078">
          <cell r="B2078" t="str">
            <v>缓冲器铭牌</v>
          </cell>
          <cell r="C2078" t="str">
            <v>Buffer Nameplate</v>
          </cell>
          <cell r="V2078" t="str">
            <v xml:space="preserve">缓冲器铭牌 </v>
          </cell>
        </row>
        <row r="2079">
          <cell r="B2079" t="str">
            <v>缓冲器铭牌</v>
          </cell>
          <cell r="C2079" t="str">
            <v>Buffer Nameplate</v>
          </cell>
          <cell r="V2079" t="str">
            <v xml:space="preserve">缓冲器铭牌 </v>
          </cell>
        </row>
        <row r="2080">
          <cell r="B2080" t="str">
            <v>文件栏</v>
          </cell>
          <cell r="C2080" t="str">
            <v>Documents Folder</v>
          </cell>
          <cell r="V2080" t="str">
            <v xml:space="preserve">文件栏 </v>
          </cell>
        </row>
        <row r="2081">
          <cell r="B2081" t="str">
            <v>文件栏</v>
          </cell>
          <cell r="C2081" t="str">
            <v>Documents Folder</v>
          </cell>
          <cell r="V2081" t="str">
            <v xml:space="preserve">文件栏 </v>
          </cell>
        </row>
        <row r="2082">
          <cell r="B2082" t="str">
            <v>目的楼层选层器</v>
          </cell>
          <cell r="C2082" t="str">
            <v>DSC Terminal</v>
          </cell>
          <cell r="V2082" t="str">
            <v>目的楼层选层器 Type-Backgroud</v>
          </cell>
        </row>
        <row r="2083">
          <cell r="B2083" t="str">
            <v>目的楼层选层器</v>
          </cell>
          <cell r="C2083" t="str">
            <v>DSC Terminal</v>
          </cell>
          <cell r="V2083" t="str">
            <v>目的楼层选层器 Touch</v>
          </cell>
        </row>
        <row r="2084">
          <cell r="B2084" t="str">
            <v>目的楼层选层器</v>
          </cell>
          <cell r="C2084" t="str">
            <v>DSC Terminal</v>
          </cell>
          <cell r="V2084" t="str">
            <v>目的楼层选层器 Keypad BK/WH</v>
          </cell>
        </row>
        <row r="2085">
          <cell r="B2085" t="str">
            <v>抱闸续流装置</v>
          </cell>
          <cell r="C2085" t="str">
            <v>Brake Free-wheeling Device</v>
          </cell>
          <cell r="V2085" t="str">
            <v xml:space="preserve">抱闸续流装置 </v>
          </cell>
        </row>
        <row r="2086">
          <cell r="B2086" t="str">
            <v>抱闸续流装置</v>
          </cell>
          <cell r="C2086" t="str">
            <v>Brake Free-wheeling Device</v>
          </cell>
          <cell r="V2086" t="str">
            <v xml:space="preserve">抱闸续流装置 </v>
          </cell>
        </row>
        <row r="2087">
          <cell r="B2087" t="str">
            <v>定子浇注</v>
          </cell>
          <cell r="C2087" t="str">
            <v>Stator Encapsulation</v>
          </cell>
          <cell r="V2087" t="str">
            <v xml:space="preserve">定子浇注 </v>
          </cell>
        </row>
        <row r="2088">
          <cell r="B2088" t="str">
            <v>定子浇注</v>
          </cell>
          <cell r="C2088" t="str">
            <v>Stator Encapsulation</v>
          </cell>
          <cell r="V2088" t="str">
            <v xml:space="preserve">定子浇注 </v>
          </cell>
        </row>
        <row r="2089">
          <cell r="B2089" t="str">
            <v>限速器安装座</v>
          </cell>
          <cell r="C2089" t="str">
            <v>Governor Base</v>
          </cell>
          <cell r="V2089" t="str">
            <v xml:space="preserve">限速器安装座 </v>
          </cell>
        </row>
        <row r="2090">
          <cell r="B2090" t="str">
            <v>限速器安装座</v>
          </cell>
          <cell r="C2090" t="str">
            <v>Governor Base</v>
          </cell>
          <cell r="V2090" t="str">
            <v xml:space="preserve">限速器安装座 </v>
          </cell>
        </row>
        <row r="2091">
          <cell r="B2091" t="str">
            <v>断绳保护装置</v>
          </cell>
          <cell r="C2091" t="str">
            <v>Rope Breakage Protection Device</v>
          </cell>
          <cell r="V2091" t="str">
            <v xml:space="preserve">断绳保护装置 </v>
          </cell>
        </row>
        <row r="2092">
          <cell r="B2092" t="str">
            <v>断绳保护装置</v>
          </cell>
          <cell r="C2092" t="str">
            <v>Rope Breakage Protection Device</v>
          </cell>
          <cell r="V2092" t="str">
            <v xml:space="preserve">断绳保护装置 </v>
          </cell>
        </row>
        <row r="2093">
          <cell r="B2093" t="str">
            <v xml:space="preserve">MF3-LCD电源电缆  </v>
          </cell>
          <cell r="C2093" t="str">
            <v>MF3-LCD P/Cable</v>
          </cell>
          <cell r="V2093" t="str">
            <v xml:space="preserve">MF3-LCD电源电缆   </v>
          </cell>
        </row>
        <row r="2094">
          <cell r="B2094" t="str">
            <v xml:space="preserve">MF3-LCD电源电缆  </v>
          </cell>
          <cell r="C2094" t="str">
            <v>MF3-LCD P/Cable</v>
          </cell>
          <cell r="V2094" t="str">
            <v xml:space="preserve">MF3-LCD电源电缆   </v>
          </cell>
        </row>
        <row r="2095">
          <cell r="B2095" t="str">
            <v>MF3-LCD通讯电缆</v>
          </cell>
          <cell r="C2095" t="str">
            <v>MF3-LCD C/Cable</v>
          </cell>
          <cell r="V2095" t="str">
            <v xml:space="preserve">MF3-LCD通讯电缆 </v>
          </cell>
        </row>
        <row r="2096">
          <cell r="B2096" t="str">
            <v>MF3-LCD通讯电缆</v>
          </cell>
          <cell r="C2096" t="str">
            <v>MF3-LCD C/Cable</v>
          </cell>
          <cell r="V2096" t="str">
            <v xml:space="preserve">MF3-LCD通讯电缆 </v>
          </cell>
        </row>
        <row r="2097">
          <cell r="B2097" t="str">
            <v>井道电源盒电源电缆分支</v>
          </cell>
          <cell r="C2097" t="str">
            <v>Shaft Power Box P/Cable Branch</v>
          </cell>
          <cell r="V2097" t="str">
            <v xml:space="preserve">井道电源盒电源电缆分支 </v>
          </cell>
        </row>
        <row r="2098">
          <cell r="B2098" t="str">
            <v>井道电源盒电源电缆分支</v>
          </cell>
          <cell r="C2098" t="str">
            <v>Shaft Power Box P/Cable Branch</v>
          </cell>
          <cell r="V2098" t="str">
            <v xml:space="preserve">井道电源盒电源电缆分支 </v>
          </cell>
        </row>
        <row r="2099">
          <cell r="B2099" t="str">
            <v>门机控制器</v>
          </cell>
          <cell r="C2099" t="str">
            <v>Door Operator Controller</v>
          </cell>
          <cell r="V2099" t="str">
            <v>门机控制器 Type</v>
          </cell>
        </row>
        <row r="2100">
          <cell r="B2100" t="str">
            <v>门机控制器</v>
          </cell>
          <cell r="C2100" t="str">
            <v>Door Operator Controller</v>
          </cell>
          <cell r="V2100" t="str">
            <v xml:space="preserve">门机控制器 </v>
          </cell>
        </row>
        <row r="2101">
          <cell r="B2101" t="str">
            <v>扁平带状电缆</v>
          </cell>
          <cell r="C2101" t="str">
            <v xml:space="preserve">Flat Ribbon Cable </v>
          </cell>
          <cell r="V2101" t="str">
            <v>扁平带状电缆 Apply for</v>
          </cell>
        </row>
        <row r="2102">
          <cell r="B2102" t="str">
            <v>扁平带状电缆</v>
          </cell>
          <cell r="C2102" t="str">
            <v xml:space="preserve">Flat Ribbon Cable </v>
          </cell>
          <cell r="V2102" t="str">
            <v xml:space="preserve">扁平带状电缆 </v>
          </cell>
        </row>
        <row r="2103">
          <cell r="B2103" t="str">
            <v>观光轿厢</v>
          </cell>
          <cell r="C2103" t="str">
            <v>Panoramic Car</v>
          </cell>
          <cell r="V2103" t="str">
            <v>观光轿厢 Type-Car Width(mm)-Car Depth(mm)-Car Height(mm)</v>
          </cell>
        </row>
        <row r="2104">
          <cell r="B2104" t="str">
            <v>观光轿厢</v>
          </cell>
          <cell r="C2104" t="str">
            <v>Panoramic Car</v>
          </cell>
          <cell r="V2104" t="str">
            <v>观光轿厢 Pano S-6 CW1600 CD1400 CH2400</v>
          </cell>
        </row>
        <row r="2105">
          <cell r="B2105" t="str">
            <v>球磨铸铁</v>
          </cell>
          <cell r="C2105" t="str">
            <v>Spheroidal Graphite Cast Iron</v>
          </cell>
          <cell r="V2105" t="str">
            <v>球磨铸铁 Type</v>
          </cell>
        </row>
        <row r="2106">
          <cell r="B2106" t="str">
            <v>球磨铸铁</v>
          </cell>
          <cell r="C2106" t="str">
            <v>Spheroidal Graphite Cast Iron</v>
          </cell>
          <cell r="V2106" t="str">
            <v>球磨铸铁 QT600-3</v>
          </cell>
        </row>
        <row r="2107">
          <cell r="B2107" t="str">
            <v>变频器-主板速度信号电缆</v>
          </cell>
          <cell r="C2107" t="str">
            <v xml:space="preserve"> Invertor-Mainboard Speed Signal Cable</v>
          </cell>
          <cell r="V2107" t="str">
            <v xml:space="preserve">变频器-主板速度信号电缆 </v>
          </cell>
        </row>
        <row r="2108">
          <cell r="B2108" t="str">
            <v>变频器-主板速度信号电缆</v>
          </cell>
          <cell r="C2108" t="str">
            <v xml:space="preserve"> Invertor-Mainboard Speed Signal Cable</v>
          </cell>
          <cell r="V2108" t="str">
            <v xml:space="preserve">变频器-主板速度信号电缆 </v>
          </cell>
        </row>
        <row r="2109">
          <cell r="B2109" t="str">
            <v>变频器-主板位置信号电缆</v>
          </cell>
          <cell r="C2109" t="str">
            <v>Invertor-Mainboard Location Signal Cable</v>
          </cell>
          <cell r="V2109" t="str">
            <v xml:space="preserve">变频器-主板位置信号电缆 </v>
          </cell>
        </row>
        <row r="2110">
          <cell r="B2110" t="str">
            <v>变频器-主板位置信号电缆</v>
          </cell>
          <cell r="C2110" t="str">
            <v>Invertor-Mainboard Location Signal Cable</v>
          </cell>
          <cell r="V2110" t="str">
            <v xml:space="preserve">变频器-主板位置信号电缆 </v>
          </cell>
        </row>
        <row r="2111">
          <cell r="B2111" t="str">
            <v>轿厢</v>
          </cell>
          <cell r="C2111" t="str">
            <v>Car</v>
          </cell>
          <cell r="V2111" t="str">
            <v>轿厢 Type-Suspended Ceiling-Car Width(mm)-Car Depth(mm)-Car Height(mm)-Floor Decoration</v>
          </cell>
        </row>
        <row r="2112">
          <cell r="B2112" t="str">
            <v>轿厢</v>
          </cell>
          <cell r="C2112" t="str">
            <v>Car</v>
          </cell>
          <cell r="V2112" t="str">
            <v>轿厢 CL1-SN Star CW1600 CD1400 CH2400 PVC</v>
          </cell>
        </row>
        <row r="2113">
          <cell r="B2113" t="str">
            <v>铝壳电阻</v>
          </cell>
          <cell r="C2113" t="str">
            <v>Aluminum Enclosure Resistor</v>
          </cell>
          <cell r="V2113" t="str">
            <v xml:space="preserve">铝壳电阻 </v>
          </cell>
        </row>
        <row r="2114">
          <cell r="B2114" t="str">
            <v>铝壳电阻</v>
          </cell>
          <cell r="C2114" t="str">
            <v>Aluminum Enclosure Resistor</v>
          </cell>
          <cell r="V2114" t="str">
            <v xml:space="preserve">铝壳电阻 </v>
          </cell>
        </row>
        <row r="2115">
          <cell r="B2115" t="str">
            <v>挂门螺栓组件</v>
          </cell>
          <cell r="C2115" t="str">
            <v>Door Hanging Bolt Assy</v>
          </cell>
          <cell r="V2115" t="str">
            <v xml:space="preserve">挂门螺栓组件 </v>
          </cell>
        </row>
        <row r="2116">
          <cell r="B2116" t="str">
            <v>挂门螺栓组件</v>
          </cell>
          <cell r="C2116" t="str">
            <v>Door Hanging Bolt Assy</v>
          </cell>
          <cell r="V2116" t="str">
            <v xml:space="preserve">挂门螺栓组件 </v>
          </cell>
        </row>
        <row r="2117">
          <cell r="B2117" t="str">
            <v>挂门螺栓</v>
          </cell>
          <cell r="C2117" t="str">
            <v>Door Hanging Bolt</v>
          </cell>
          <cell r="V2117" t="str">
            <v xml:space="preserve">挂门螺栓 </v>
          </cell>
        </row>
        <row r="2118">
          <cell r="B2118" t="str">
            <v>挂门螺栓</v>
          </cell>
          <cell r="C2118" t="str">
            <v>Door Hanging Bolt</v>
          </cell>
          <cell r="V2118" t="str">
            <v xml:space="preserve">挂门螺栓 </v>
          </cell>
        </row>
        <row r="2119">
          <cell r="B2119" t="str">
            <v>六角带齿螺母</v>
          </cell>
          <cell r="C2119" t="str">
            <v>Hexagonal Toothed Nuts</v>
          </cell>
          <cell r="V2119" t="str">
            <v>六角带齿螺母 Spec-Standard code</v>
          </cell>
        </row>
        <row r="2120">
          <cell r="B2120" t="str">
            <v>六角带齿螺母</v>
          </cell>
          <cell r="C2120" t="str">
            <v>Hexagonal Toothed Nuts</v>
          </cell>
          <cell r="V2120" t="str">
            <v>六角带齿螺母 M6 QC/T 846</v>
          </cell>
        </row>
        <row r="2121">
          <cell r="B2121" t="str">
            <v>丝网印刷模具</v>
          </cell>
          <cell r="C2121" t="str">
            <v>Silk Screen Printing Mould</v>
          </cell>
          <cell r="V2121" t="str">
            <v xml:space="preserve">丝网印刷模具 </v>
          </cell>
        </row>
        <row r="2122">
          <cell r="B2122" t="str">
            <v>丝网印刷模具</v>
          </cell>
          <cell r="C2122" t="str">
            <v>Silk Screen Printing Mould</v>
          </cell>
          <cell r="V2122" t="str">
            <v xml:space="preserve">丝网印刷模具 </v>
          </cell>
        </row>
        <row r="2123">
          <cell r="B2123" t="str">
            <v>对重组件</v>
          </cell>
          <cell r="C2123" t="str">
            <v>CWT Assy</v>
          </cell>
          <cell r="V2123" t="str">
            <v>对重组件 Pulley Dia.(mm)-Cwt Gauge(mm)-Frame Thickness(mm)</v>
          </cell>
        </row>
        <row r="2124">
          <cell r="B2124" t="str">
            <v>对重组件</v>
          </cell>
          <cell r="C2124" t="str">
            <v>CWT Assy</v>
          </cell>
          <cell r="V2124" t="str">
            <v>对重组件 D720 CWG1280 t180</v>
          </cell>
        </row>
        <row r="2125">
          <cell r="B2125" t="str">
            <v>对重护板</v>
          </cell>
          <cell r="C2125" t="str">
            <v>CWT Frame Cladding</v>
          </cell>
          <cell r="V2125" t="str">
            <v xml:space="preserve">对重护板 </v>
          </cell>
        </row>
        <row r="2126">
          <cell r="B2126" t="str">
            <v>对重护板</v>
          </cell>
          <cell r="C2126" t="str">
            <v>CWT Frame Cladding</v>
          </cell>
          <cell r="V2126" t="str">
            <v xml:space="preserve">对重护板 </v>
          </cell>
        </row>
        <row r="2127">
          <cell r="B2127" t="str">
            <v>变频器内部连接电缆</v>
          </cell>
          <cell r="C2127" t="str">
            <v>Inverter Internal Connection Cable</v>
          </cell>
          <cell r="V2127" t="str">
            <v xml:space="preserve">变频器内部连接电缆 </v>
          </cell>
        </row>
        <row r="2128">
          <cell r="B2128" t="str">
            <v>变频器内部连接电缆</v>
          </cell>
          <cell r="C2128" t="str">
            <v>Inverter Internal Connection Cable</v>
          </cell>
          <cell r="V2128" t="str">
            <v xml:space="preserve">变频器内部连接电缆 </v>
          </cell>
        </row>
        <row r="2129">
          <cell r="B2129" t="str">
            <v>绳轮毛坯</v>
          </cell>
          <cell r="C2129" t="str">
            <v>Rope Pulley Casting</v>
          </cell>
          <cell r="V2129" t="str">
            <v>绳轮毛坯 Pulley Dia.(mm)</v>
          </cell>
        </row>
        <row r="2130">
          <cell r="B2130" t="str">
            <v>绳轮毛坯</v>
          </cell>
          <cell r="C2130" t="str">
            <v>Rope Pulley Casting</v>
          </cell>
          <cell r="V2130" t="str">
            <v>绳轮毛坯 D720</v>
          </cell>
        </row>
        <row r="2131">
          <cell r="B2131" t="str">
            <v>搁机梁</v>
          </cell>
          <cell r="C2131" t="str">
            <v>Machine Beam</v>
          </cell>
          <cell r="V2131" t="str">
            <v xml:space="preserve">搁机梁 </v>
          </cell>
        </row>
        <row r="2132">
          <cell r="B2132" t="str">
            <v>搁机梁</v>
          </cell>
          <cell r="C2132" t="str">
            <v>Machine Beam</v>
          </cell>
          <cell r="V2132" t="str">
            <v xml:space="preserve">搁机梁 </v>
          </cell>
        </row>
        <row r="2133">
          <cell r="B2133" t="str">
            <v>井道顶部梁安装附件</v>
          </cell>
          <cell r="C2133" t="str">
            <v>Shaft Top Beam Fix Accessories</v>
          </cell>
          <cell r="V2133" t="str">
            <v xml:space="preserve">井道顶部梁安装附件 </v>
          </cell>
        </row>
        <row r="2134">
          <cell r="B2134" t="str">
            <v>井道顶部梁安装附件</v>
          </cell>
          <cell r="C2134" t="str">
            <v>Shaft Top Beam Fix Accessories</v>
          </cell>
          <cell r="V2134" t="str">
            <v xml:space="preserve">井道顶部梁安装附件 </v>
          </cell>
        </row>
        <row r="2135">
          <cell r="B2135" t="str">
            <v>限速器梁安装附件</v>
          </cell>
          <cell r="C2135" t="str">
            <v>Governor Beam Fix Accessories</v>
          </cell>
          <cell r="V2135" t="str">
            <v xml:space="preserve">限速器梁安装附件 </v>
          </cell>
        </row>
        <row r="2136">
          <cell r="B2136" t="str">
            <v>限速器梁安装附件</v>
          </cell>
          <cell r="C2136" t="str">
            <v>Governor Beam Fix Accessories</v>
          </cell>
          <cell r="V2136" t="str">
            <v xml:space="preserve">限速器梁安装附件 </v>
          </cell>
        </row>
        <row r="2137">
          <cell r="B2137" t="str">
            <v>DSC电源电缆</v>
          </cell>
          <cell r="C2137" t="str">
            <v xml:space="preserve"> DSC P/Cable</v>
          </cell>
          <cell r="V2137" t="str">
            <v>DSC电源电缆 Apply for</v>
          </cell>
        </row>
        <row r="2138">
          <cell r="B2138" t="str">
            <v>DSC电源电缆</v>
          </cell>
          <cell r="C2138" t="str">
            <v xml:space="preserve"> DSC P/Cable</v>
          </cell>
          <cell r="V2138" t="str">
            <v>DSC电源电缆 Keypad</v>
          </cell>
        </row>
        <row r="2139">
          <cell r="B2139" t="str">
            <v>DSC电源电缆分支</v>
          </cell>
          <cell r="C2139" t="str">
            <v xml:space="preserve"> DSC P/Cable Branch</v>
          </cell>
          <cell r="V2139" t="str">
            <v>DSC电源电缆分支 Apply for</v>
          </cell>
        </row>
        <row r="2140">
          <cell r="B2140" t="str">
            <v>DSC电源电缆分支</v>
          </cell>
          <cell r="C2140" t="str">
            <v xml:space="preserve"> DSC P/Cable Branch</v>
          </cell>
          <cell r="V2140" t="str">
            <v>DSC电源电缆分支 Touch</v>
          </cell>
        </row>
        <row r="2141">
          <cell r="B2141" t="str">
            <v>DSC通讯电缆</v>
          </cell>
          <cell r="C2141" t="str">
            <v>DSC C/Cable</v>
          </cell>
          <cell r="V2141" t="str">
            <v>DSC通讯电缆 Apply for</v>
          </cell>
        </row>
        <row r="2142">
          <cell r="B2142" t="str">
            <v>DSC通讯电缆</v>
          </cell>
          <cell r="C2142" t="str">
            <v>DSC C/Cable</v>
          </cell>
          <cell r="V2142" t="str">
            <v>DSC通讯电缆 Touch</v>
          </cell>
        </row>
        <row r="2143">
          <cell r="B2143" t="str">
            <v>DSC通讯电缆分支</v>
          </cell>
          <cell r="C2143" t="str">
            <v>DSC C/Cable Branch</v>
          </cell>
          <cell r="V2143" t="str">
            <v>DSC通讯电缆分支 Apply for</v>
          </cell>
        </row>
        <row r="2144">
          <cell r="B2144" t="str">
            <v>DSC通讯电缆分支</v>
          </cell>
          <cell r="C2144" t="str">
            <v>DSC C/Cable Branch</v>
          </cell>
          <cell r="V2144" t="str">
            <v>DSC通讯电缆分支 Keypad</v>
          </cell>
        </row>
        <row r="2145">
          <cell r="B2145" t="str">
            <v>百叶窗</v>
          </cell>
          <cell r="C2145" t="str">
            <v>Blind Window</v>
          </cell>
          <cell r="V2145" t="str">
            <v>百叶窗 Dimension(mm)</v>
          </cell>
        </row>
        <row r="2146">
          <cell r="B2146" t="str">
            <v>百叶窗</v>
          </cell>
          <cell r="C2146" t="str">
            <v>Blind Window</v>
          </cell>
          <cell r="V2146" t="str">
            <v>百叶窗 200*160</v>
          </cell>
        </row>
        <row r="2147">
          <cell r="B2147" t="str">
            <v>接插件绝缘体</v>
          </cell>
          <cell r="C2147" t="str">
            <v>Socket Connector Insulation</v>
          </cell>
          <cell r="V2147" t="str">
            <v xml:space="preserve">接插件绝缘体 </v>
          </cell>
        </row>
        <row r="2148">
          <cell r="B2148" t="str">
            <v>接插件绝缘体</v>
          </cell>
          <cell r="C2148" t="str">
            <v>Socket Connector Insulation</v>
          </cell>
          <cell r="V2148" t="str">
            <v xml:space="preserve">接插件绝缘体 </v>
          </cell>
        </row>
        <row r="2149">
          <cell r="B2149" t="str">
            <v>导轨封头</v>
          </cell>
          <cell r="C2149" t="str">
            <v>Guide Rail Joint Bracket</v>
          </cell>
          <cell r="V2149" t="str">
            <v xml:space="preserve">导轨封头 </v>
          </cell>
        </row>
        <row r="2150">
          <cell r="B2150" t="str">
            <v>导轨封头</v>
          </cell>
          <cell r="C2150" t="str">
            <v>Guide Rail Joint Bracket</v>
          </cell>
          <cell r="V2150" t="str">
            <v xml:space="preserve">导轨封头 </v>
          </cell>
        </row>
        <row r="2151">
          <cell r="B2151" t="str">
            <v>地板</v>
          </cell>
          <cell r="C2151" t="str">
            <v>Floorboard</v>
          </cell>
          <cell r="V2151" t="str">
            <v>地板 Meterial-Type-Dimension(mm)-Thickness(mm)</v>
          </cell>
        </row>
        <row r="2152">
          <cell r="B2152" t="str">
            <v>地板</v>
          </cell>
          <cell r="C2152" t="str">
            <v>Floorboard</v>
          </cell>
          <cell r="V2152" t="str">
            <v>地板 PVC CFL006 303*303 t2</v>
          </cell>
        </row>
        <row r="2153">
          <cell r="B2153" t="str">
            <v>开门限位装置</v>
          </cell>
          <cell r="C2153" t="str">
            <v>Door Opening Limit Device</v>
          </cell>
          <cell r="V2153" t="str">
            <v xml:space="preserve">开门限位装置 </v>
          </cell>
        </row>
        <row r="2154">
          <cell r="B2154" t="str">
            <v>开门限位装置</v>
          </cell>
          <cell r="C2154" t="str">
            <v>Door Opening Limit Device</v>
          </cell>
          <cell r="V2154" t="str">
            <v xml:space="preserve">开门限位装置 </v>
          </cell>
        </row>
        <row r="2155">
          <cell r="B2155" t="str">
            <v>从动轮张紧装置</v>
          </cell>
          <cell r="C2155" t="str">
            <v>Driven Wheel Tensioning Device</v>
          </cell>
          <cell r="V2155" t="str">
            <v xml:space="preserve">从动轮张紧装置 </v>
          </cell>
        </row>
        <row r="2156">
          <cell r="B2156" t="str">
            <v>从动轮张紧装置</v>
          </cell>
          <cell r="C2156" t="str">
            <v>Driven Wheel Tensioning Device</v>
          </cell>
          <cell r="V2156" t="str">
            <v xml:space="preserve">从动轮张紧装置 </v>
          </cell>
        </row>
        <row r="2157">
          <cell r="B2157" t="str">
            <v>从动轮调节板</v>
          </cell>
          <cell r="C2157" t="str">
            <v xml:space="preserve"> Driven Wheel Adjustment Plate</v>
          </cell>
          <cell r="V2157" t="str">
            <v xml:space="preserve">从动轮调节板 </v>
          </cell>
        </row>
        <row r="2158">
          <cell r="B2158" t="str">
            <v>从动轮调节板</v>
          </cell>
          <cell r="C2158" t="str">
            <v xml:space="preserve"> Driven Wheel Adjustment Plate</v>
          </cell>
          <cell r="V2158" t="str">
            <v xml:space="preserve">从动轮调节板 </v>
          </cell>
        </row>
        <row r="2159">
          <cell r="B2159" t="str">
            <v>压铆螺钉</v>
          </cell>
          <cell r="C2159" t="str">
            <v>Self-clinching Screw</v>
          </cell>
          <cell r="V2159" t="str">
            <v>压铆螺钉 Spec</v>
          </cell>
        </row>
        <row r="2160">
          <cell r="B2160" t="str">
            <v>压铆螺钉</v>
          </cell>
          <cell r="C2160" t="str">
            <v>Self-clinching Screw</v>
          </cell>
          <cell r="V2160" t="str">
            <v>压铆螺钉 FH-M3-15</v>
          </cell>
        </row>
        <row r="2161">
          <cell r="B2161" t="str">
            <v>门刀</v>
          </cell>
          <cell r="C2161" t="str">
            <v>Door Cam</v>
          </cell>
          <cell r="V2161" t="str">
            <v xml:space="preserve">门刀 </v>
          </cell>
        </row>
        <row r="2162">
          <cell r="B2162" t="str">
            <v>门刀</v>
          </cell>
          <cell r="C2162" t="str">
            <v>Door Cam</v>
          </cell>
          <cell r="V2162" t="str">
            <v xml:space="preserve">门刀 </v>
          </cell>
        </row>
        <row r="2163">
          <cell r="B2163" t="str">
            <v>左刀臂组件</v>
          </cell>
          <cell r="C2163" t="str">
            <v>Left Cam Elbow Assy</v>
          </cell>
          <cell r="V2163" t="str">
            <v xml:space="preserve">左刀臂组件 </v>
          </cell>
        </row>
        <row r="2164">
          <cell r="B2164" t="str">
            <v>左刀臂组件</v>
          </cell>
          <cell r="C2164" t="str">
            <v>Left Cam Elbow Assy</v>
          </cell>
          <cell r="V2164" t="str">
            <v xml:space="preserve">左刀臂组件 </v>
          </cell>
        </row>
        <row r="2165">
          <cell r="B2165" t="str">
            <v>右刀臂组件</v>
          </cell>
          <cell r="C2165" t="str">
            <v>Right Cam Elbow Assy</v>
          </cell>
          <cell r="V2165" t="str">
            <v xml:space="preserve">右刀臂组件 </v>
          </cell>
        </row>
        <row r="2166">
          <cell r="B2166" t="str">
            <v>右刀臂组件</v>
          </cell>
          <cell r="C2166" t="str">
            <v>Right Cam Elbow Assy</v>
          </cell>
          <cell r="V2166" t="str">
            <v xml:space="preserve">右刀臂组件 </v>
          </cell>
        </row>
        <row r="2167">
          <cell r="B2167" t="str">
            <v>限位板</v>
          </cell>
          <cell r="C2167" t="str">
            <v>Spacing Plate</v>
          </cell>
          <cell r="V2167" t="str">
            <v xml:space="preserve">限位板 </v>
          </cell>
        </row>
        <row r="2168">
          <cell r="B2168" t="str">
            <v>限位板</v>
          </cell>
          <cell r="C2168" t="str">
            <v>Spacing Plate</v>
          </cell>
          <cell r="V2168" t="str">
            <v xml:space="preserve">限位板 </v>
          </cell>
        </row>
        <row r="2169">
          <cell r="B2169" t="str">
            <v>刀臂</v>
          </cell>
          <cell r="C2169" t="str">
            <v>Cam Elbow</v>
          </cell>
          <cell r="V2169" t="str">
            <v xml:space="preserve">刀臂 </v>
          </cell>
        </row>
        <row r="2170">
          <cell r="B2170" t="str">
            <v>刀臂</v>
          </cell>
          <cell r="C2170" t="str">
            <v>Cam Elbow</v>
          </cell>
          <cell r="V2170" t="str">
            <v xml:space="preserve">刀臂 </v>
          </cell>
        </row>
        <row r="2171">
          <cell r="B2171" t="str">
            <v>定向脚轮</v>
          </cell>
          <cell r="C2171" t="str">
            <v>Fixed Castor</v>
          </cell>
          <cell r="V2171" t="str">
            <v xml:space="preserve">定向脚轮 </v>
          </cell>
        </row>
        <row r="2172">
          <cell r="B2172" t="str">
            <v>定向脚轮</v>
          </cell>
          <cell r="C2172" t="str">
            <v>Fixed Castor</v>
          </cell>
          <cell r="V2172" t="str">
            <v xml:space="preserve">定向脚轮 </v>
          </cell>
        </row>
        <row r="2173">
          <cell r="B2173" t="str">
            <v>弹簧门碰</v>
          </cell>
          <cell r="C2173" t="str">
            <v>Spring Door Holder</v>
          </cell>
          <cell r="V2173" t="str">
            <v xml:space="preserve">弹簧门碰 </v>
          </cell>
        </row>
        <row r="2174">
          <cell r="B2174" t="str">
            <v>弹簧门碰</v>
          </cell>
          <cell r="C2174" t="str">
            <v>Spring Door Holder</v>
          </cell>
          <cell r="V2174" t="str">
            <v xml:space="preserve">弹簧门碰 </v>
          </cell>
        </row>
        <row r="2175">
          <cell r="B2175" t="str">
            <v>目的楼层选层器轿内终端板</v>
          </cell>
          <cell r="C2175" t="str">
            <v>DSC Car Terminal Board</v>
          </cell>
          <cell r="V2175" t="str">
            <v>目的楼层选层器轿内终端板 Type</v>
          </cell>
        </row>
        <row r="2176">
          <cell r="B2176" t="str">
            <v>目的楼层选层器轿内终端板</v>
          </cell>
          <cell r="C2176" t="str">
            <v>DSC Car Terminal Board</v>
          </cell>
          <cell r="V2176" t="str">
            <v>目的楼层选层器轿内终端板 E1.1</v>
          </cell>
        </row>
        <row r="2177">
          <cell r="B2177" t="str">
            <v>外召显示板</v>
          </cell>
          <cell r="C2177" t="str">
            <v>Landing Display Board</v>
          </cell>
          <cell r="V2177" t="str">
            <v>外召显示板 Type</v>
          </cell>
        </row>
        <row r="2178">
          <cell r="B2178" t="str">
            <v>外召显示板</v>
          </cell>
          <cell r="C2178" t="str">
            <v>Landing Display Board</v>
          </cell>
          <cell r="V2178" t="str">
            <v>外召显示板 MS5-E1.0</v>
          </cell>
        </row>
        <row r="2179">
          <cell r="B2179" t="str">
            <v>锚栓组件</v>
          </cell>
          <cell r="C2179" t="str">
            <v>Anchor Assy</v>
          </cell>
          <cell r="V2179" t="str">
            <v>锚栓组件 Type</v>
          </cell>
        </row>
        <row r="2180">
          <cell r="B2180" t="str">
            <v>锚栓组件</v>
          </cell>
          <cell r="C2180" t="str">
            <v>Anchor Assy</v>
          </cell>
          <cell r="V2180" t="str">
            <v>锚栓组件 M12×90/50-TGQ</v>
          </cell>
        </row>
        <row r="2181">
          <cell r="B2181" t="str">
            <v>副轿厢操纵箱盒体组件</v>
          </cell>
          <cell r="C2181" t="str">
            <v>Auxiliary COP Box Assy</v>
          </cell>
          <cell r="V2181" t="str">
            <v>副轿厢操纵箱盒体组件 Width(mm)-Door Clear Height(mm)-Floor Decoration-Button-Faceplate Material</v>
          </cell>
        </row>
        <row r="2182">
          <cell r="B2182" t="str">
            <v>副轿厢操纵箱盒体组件</v>
          </cell>
          <cell r="C2182" t="str">
            <v>Auxiliary COP Box Assy</v>
          </cell>
          <cell r="V2182" t="str">
            <v>副轿厢操纵箱盒体组件 375 DH2100 t5 DA215 SUS304/0.8/MI</v>
          </cell>
        </row>
        <row r="2183">
          <cell r="B2183" t="str">
            <v>油管</v>
          </cell>
          <cell r="C2183" t="str">
            <v>Oil Tube</v>
          </cell>
          <cell r="V2183" t="str">
            <v xml:space="preserve">油管 </v>
          </cell>
        </row>
        <row r="2184">
          <cell r="B2184" t="str">
            <v>油管</v>
          </cell>
          <cell r="C2184" t="str">
            <v>Oil Tube</v>
          </cell>
          <cell r="V2184" t="str">
            <v xml:space="preserve">油管 </v>
          </cell>
        </row>
        <row r="2185">
          <cell r="B2185" t="str">
            <v>曳引机集油盒</v>
          </cell>
          <cell r="C2185" t="str">
            <v>T/M Oil Collector</v>
          </cell>
          <cell r="V2185" t="str">
            <v xml:space="preserve">曳引机集油盒 </v>
          </cell>
        </row>
        <row r="2186">
          <cell r="B2186" t="str">
            <v>曳引机集油盒</v>
          </cell>
          <cell r="C2186" t="str">
            <v>T/M Oil Collector</v>
          </cell>
          <cell r="V2186" t="str">
            <v xml:space="preserve">曳引机集油盒 </v>
          </cell>
        </row>
        <row r="2187">
          <cell r="B2187" t="str">
            <v>曳引机平衡块</v>
          </cell>
          <cell r="C2187" t="str">
            <v>T/M Balance Filler</v>
          </cell>
          <cell r="V2187" t="str">
            <v xml:space="preserve">曳引机平衡块 </v>
          </cell>
        </row>
        <row r="2188">
          <cell r="B2188" t="str">
            <v>曳引机平衡块</v>
          </cell>
          <cell r="C2188" t="str">
            <v>T/M Balance Filler</v>
          </cell>
          <cell r="V2188" t="str">
            <v xml:space="preserve">曳引机平衡块 </v>
          </cell>
        </row>
        <row r="2189">
          <cell r="B2189" t="str">
            <v>注油标识</v>
          </cell>
          <cell r="C2189" t="str">
            <v>Oling Label</v>
          </cell>
          <cell r="V2189" t="str">
            <v xml:space="preserve">注油标识 </v>
          </cell>
        </row>
        <row r="2190">
          <cell r="B2190" t="str">
            <v>注油标识</v>
          </cell>
          <cell r="C2190" t="str">
            <v>Oling Label</v>
          </cell>
          <cell r="V2190" t="str">
            <v xml:space="preserve">注油标识 </v>
          </cell>
        </row>
        <row r="2191">
          <cell r="B2191" t="str">
            <v>远程监控连接电缆</v>
          </cell>
          <cell r="C2191" t="str">
            <v>Teleservice Connection Cable</v>
          </cell>
          <cell r="V2191" t="str">
            <v xml:space="preserve">远程监控连接电缆 </v>
          </cell>
        </row>
        <row r="2192">
          <cell r="B2192" t="str">
            <v>远程监控连接电缆</v>
          </cell>
          <cell r="C2192" t="str">
            <v>Teleservice Connection Cable</v>
          </cell>
          <cell r="V2192" t="str">
            <v xml:space="preserve">远程监控连接电缆 </v>
          </cell>
        </row>
        <row r="2193">
          <cell r="B2193" t="str">
            <v>调制解调器</v>
          </cell>
          <cell r="C2193" t="str">
            <v>Modem</v>
          </cell>
          <cell r="V2193" t="str">
            <v xml:space="preserve">调制解调器 </v>
          </cell>
        </row>
        <row r="2194">
          <cell r="B2194" t="str">
            <v>调制解调器</v>
          </cell>
          <cell r="C2194" t="str">
            <v>Modem</v>
          </cell>
          <cell r="V2194" t="str">
            <v xml:space="preserve">调制解调器 </v>
          </cell>
        </row>
        <row r="2195">
          <cell r="B2195" t="str">
            <v>调制解调器通讯电缆</v>
          </cell>
          <cell r="C2195" t="str">
            <v>Modem C/Cable</v>
          </cell>
          <cell r="V2195" t="str">
            <v xml:space="preserve">调制解调器通讯电缆 </v>
          </cell>
        </row>
        <row r="2196">
          <cell r="B2196" t="str">
            <v>调制解调器通讯电缆</v>
          </cell>
          <cell r="C2196" t="str">
            <v>Modem C/Cable</v>
          </cell>
          <cell r="V2196" t="str">
            <v xml:space="preserve">调制解调器通讯电缆 </v>
          </cell>
        </row>
        <row r="2197">
          <cell r="B2197" t="str">
            <v>调制解调器电源电缆</v>
          </cell>
          <cell r="C2197" t="str">
            <v>Modem P/Cable</v>
          </cell>
          <cell r="V2197" t="str">
            <v xml:space="preserve">调制解调器电源电缆 </v>
          </cell>
        </row>
        <row r="2198">
          <cell r="B2198" t="str">
            <v>调制解调器电源电缆</v>
          </cell>
          <cell r="C2198" t="str">
            <v>Modem P/Cable</v>
          </cell>
          <cell r="V2198" t="str">
            <v xml:space="preserve">调制解调器电源电缆 </v>
          </cell>
        </row>
        <row r="2199">
          <cell r="B2199" t="str">
            <v>制动片组件</v>
          </cell>
          <cell r="C2199" t="str">
            <v>Lining Assy</v>
          </cell>
          <cell r="V2199" t="str">
            <v>制动片组件 Brake Dia.(mm)-Width(mm)</v>
          </cell>
        </row>
        <row r="2200">
          <cell r="B2200" t="str">
            <v>制动片组件</v>
          </cell>
          <cell r="C2200" t="str">
            <v>Lining Assy</v>
          </cell>
          <cell r="V2200" t="str">
            <v>制动片组件 D500 70</v>
          </cell>
        </row>
        <row r="2201">
          <cell r="B2201" t="str">
            <v>磁条</v>
          </cell>
          <cell r="C2201" t="str">
            <v>Magnetic Strip</v>
          </cell>
          <cell r="V2201" t="str">
            <v>磁条 Length(mm)-Apply for</v>
          </cell>
        </row>
        <row r="2202">
          <cell r="B2202" t="str">
            <v>磁条</v>
          </cell>
          <cell r="C2202" t="str">
            <v>Magnetic Strip</v>
          </cell>
          <cell r="V2202" t="str">
            <v>磁条 L230 FMPA7</v>
          </cell>
        </row>
        <row r="2203">
          <cell r="B2203" t="str">
            <v>蓄电池</v>
          </cell>
          <cell r="C2203" t="str">
            <v>Storage Battery</v>
          </cell>
          <cell r="V2203" t="str">
            <v>蓄电池 Type-Voltage-Capacity</v>
          </cell>
        </row>
        <row r="2204">
          <cell r="B2204" t="str">
            <v>蓄电池</v>
          </cell>
          <cell r="C2204" t="str">
            <v>Storage Battery</v>
          </cell>
          <cell r="V2204" t="str">
            <v>蓄电池 LC-P1224 12V 24AH</v>
          </cell>
        </row>
        <row r="2205">
          <cell r="B2205" t="str">
            <v>监控RS232接口板</v>
          </cell>
          <cell r="C2205" t="str">
            <v>Monitoring RS232 Interface Board</v>
          </cell>
          <cell r="V2205" t="str">
            <v>监控RS232接口板 Type</v>
          </cell>
        </row>
        <row r="2206">
          <cell r="B2206" t="str">
            <v>监控RS232接口板</v>
          </cell>
          <cell r="C2206" t="str">
            <v>Monitoring RS232 Interface Board</v>
          </cell>
          <cell r="V2206" t="str">
            <v>监控RS232接口板 MM2 V1.0</v>
          </cell>
        </row>
        <row r="2207">
          <cell r="B2207" t="str">
            <v>厅门门板焊接件</v>
          </cell>
          <cell r="C2207" t="str">
            <v>L/Door Panel Weldment</v>
          </cell>
          <cell r="V2207" t="str">
            <v>厅门门板焊接件 Type-Door Clear Opening Width(mm)-Door Clear Height(mm)</v>
          </cell>
        </row>
        <row r="2208">
          <cell r="B2208" t="str">
            <v>厅门门板焊接件</v>
          </cell>
          <cell r="C2208" t="str">
            <v>L/Door Panel Weldment</v>
          </cell>
          <cell r="V2208" t="str">
            <v>厅门门板焊接件 S8 DW900 DH2100</v>
          </cell>
        </row>
        <row r="2209">
          <cell r="B2209" t="str">
            <v>轿门门板焊接件</v>
          </cell>
          <cell r="C2209" t="str">
            <v>C/Door Panel Weldment</v>
          </cell>
          <cell r="V2209" t="str">
            <v>轿门门板焊接件 Type-Door Clear Opening Width(mm)-Door Clear Height(mm)</v>
          </cell>
        </row>
        <row r="2210">
          <cell r="B2210" t="str">
            <v>轿门门板焊接件</v>
          </cell>
          <cell r="C2210" t="str">
            <v>C/Door Panel Weldment</v>
          </cell>
          <cell r="V2210" t="str">
            <v>轿门门板焊接件 S8 DW900 DH2100</v>
          </cell>
        </row>
        <row r="2211">
          <cell r="B2211" t="str">
            <v>门板加强筋</v>
          </cell>
          <cell r="C2211" t="str">
            <v>Door Panel Rib</v>
          </cell>
          <cell r="V2211" t="str">
            <v>门板加强筋 Type-Door Clear Height(mm)</v>
          </cell>
        </row>
        <row r="2212">
          <cell r="B2212" t="str">
            <v>门板加强筋</v>
          </cell>
          <cell r="C2212" t="str">
            <v>Door Panel Rib</v>
          </cell>
          <cell r="V2212" t="str">
            <v>门板加强筋 S200 DH2100</v>
          </cell>
        </row>
        <row r="2213">
          <cell r="B2213" t="str">
            <v>门楣焊接件</v>
          </cell>
          <cell r="C2213" t="str">
            <v>Door Lintel Weldment</v>
          </cell>
          <cell r="V2213" t="str">
            <v>门楣焊接件 Type-Door Clear Opening Width(mm)</v>
          </cell>
        </row>
        <row r="2214">
          <cell r="B2214" t="str">
            <v>门楣焊接件</v>
          </cell>
          <cell r="C2214" t="str">
            <v>Door Lintel Weldment</v>
          </cell>
          <cell r="V2214" t="str">
            <v>门楣焊接件 S200 DW900</v>
          </cell>
        </row>
        <row r="2215">
          <cell r="B2215" t="str">
            <v>目的楼层选层器支架</v>
          </cell>
          <cell r="C2215" t="str">
            <v>DSC Terminal Bracket</v>
          </cell>
          <cell r="V2215" t="str">
            <v>目的楼层选层器支架 Type</v>
          </cell>
        </row>
        <row r="2216">
          <cell r="B2216" t="str">
            <v>目的楼层选层器支架</v>
          </cell>
          <cell r="C2216" t="str">
            <v>DSC Terminal Bracket</v>
          </cell>
          <cell r="V2216" t="str">
            <v>目的楼层选层器支架 Keypad</v>
          </cell>
        </row>
        <row r="2217">
          <cell r="B2217" t="str">
            <v>目的楼层选层器面板</v>
          </cell>
          <cell r="C2217" t="str">
            <v>DSC Terminal Faceplate</v>
          </cell>
          <cell r="V2217" t="str">
            <v>目的楼层选层器面板 Type</v>
          </cell>
        </row>
        <row r="2218">
          <cell r="B2218" t="str">
            <v>目的楼层选层器面板</v>
          </cell>
          <cell r="C2218" t="str">
            <v>DSC Terminal Faceplate</v>
          </cell>
          <cell r="V2218" t="str">
            <v>目的楼层选层器面板 Touch</v>
          </cell>
        </row>
        <row r="2219">
          <cell r="B2219" t="str">
            <v>活塞</v>
          </cell>
          <cell r="C2219" t="str">
            <v>Piston</v>
          </cell>
          <cell r="V2219" t="str">
            <v xml:space="preserve">活塞  </v>
          </cell>
        </row>
        <row r="2220">
          <cell r="B2220" t="str">
            <v>活塞</v>
          </cell>
          <cell r="C2220" t="str">
            <v>Piston</v>
          </cell>
          <cell r="V2220" t="str">
            <v xml:space="preserve">活塞 </v>
          </cell>
        </row>
        <row r="2221">
          <cell r="B2221" t="str">
            <v>活塞杆</v>
          </cell>
          <cell r="C2221" t="str">
            <v>Piston Rod</v>
          </cell>
          <cell r="V2221" t="str">
            <v xml:space="preserve">活塞杆 </v>
          </cell>
        </row>
        <row r="2222">
          <cell r="B2222" t="str">
            <v>活塞杆</v>
          </cell>
          <cell r="C2222" t="str">
            <v>Piston Rod</v>
          </cell>
          <cell r="V2222" t="str">
            <v xml:space="preserve">活塞杆 </v>
          </cell>
        </row>
        <row r="2223">
          <cell r="B2223" t="str">
            <v>油压阻尼器</v>
          </cell>
          <cell r="C2223" t="str">
            <v>Hydraulic Dampers</v>
          </cell>
          <cell r="V2223" t="str">
            <v xml:space="preserve">油压阻尼器 </v>
          </cell>
        </row>
        <row r="2224">
          <cell r="B2224" t="str">
            <v>油压阻尼器</v>
          </cell>
          <cell r="C2224" t="str">
            <v>Hydraulic Dampers</v>
          </cell>
          <cell r="V2224" t="str">
            <v xml:space="preserve">油压阻尼器 </v>
          </cell>
        </row>
        <row r="2225">
          <cell r="B2225" t="str">
            <v>油位测量杆</v>
          </cell>
          <cell r="C2225" t="str">
            <v>Oil Level Measuring Rod</v>
          </cell>
          <cell r="V2225" t="str">
            <v xml:space="preserve">油位测量杆 </v>
          </cell>
        </row>
        <row r="2226">
          <cell r="B2226" t="str">
            <v>油位测量杆</v>
          </cell>
          <cell r="C2226" t="str">
            <v>Oil Level Measuring Rod</v>
          </cell>
          <cell r="V2226" t="str">
            <v xml:space="preserve">油位测量杆 </v>
          </cell>
        </row>
        <row r="2227">
          <cell r="B2227" t="str">
            <v>限流套</v>
          </cell>
          <cell r="C2227" t="str">
            <v>Limit Bush</v>
          </cell>
          <cell r="V2227" t="str">
            <v xml:space="preserve">限流套 </v>
          </cell>
        </row>
        <row r="2228">
          <cell r="B2228" t="str">
            <v>限流套</v>
          </cell>
          <cell r="C2228" t="str">
            <v>Limit Bush</v>
          </cell>
          <cell r="V2228" t="str">
            <v xml:space="preserve">限流套 </v>
          </cell>
        </row>
        <row r="2229">
          <cell r="B2229" t="str">
            <v>操纵箱衬板</v>
          </cell>
          <cell r="C2229" t="str">
            <v>COP Veneer</v>
          </cell>
          <cell r="V2229" t="str">
            <v>操纵箱衬板 Button</v>
          </cell>
        </row>
        <row r="2230">
          <cell r="B2230" t="str">
            <v>操纵箱衬板</v>
          </cell>
          <cell r="C2230" t="str">
            <v>COP Veneer</v>
          </cell>
          <cell r="V2230" t="str">
            <v>操纵箱衬板 DA283</v>
          </cell>
        </row>
        <row r="2231">
          <cell r="B2231" t="str">
            <v>门楣支架</v>
          </cell>
          <cell r="C2231" t="str">
            <v>Door Lintel Bracket</v>
          </cell>
          <cell r="V2231" t="str">
            <v xml:space="preserve">门楣支架 </v>
          </cell>
        </row>
        <row r="2232">
          <cell r="B2232" t="str">
            <v>门楣支架</v>
          </cell>
          <cell r="C2232" t="str">
            <v>Door Lintel Bracket</v>
          </cell>
          <cell r="V2232" t="str">
            <v xml:space="preserve">门楣支架 </v>
          </cell>
        </row>
        <row r="2233">
          <cell r="B2233" t="str">
            <v>灯带</v>
          </cell>
          <cell r="C2233" t="str">
            <v>LED Strip</v>
          </cell>
          <cell r="V2233" t="str">
            <v>灯带 Rated Current-Rated Voltage</v>
          </cell>
        </row>
        <row r="2234">
          <cell r="B2234" t="str">
            <v>灯带</v>
          </cell>
          <cell r="C2234" t="str">
            <v>LED Strip</v>
          </cell>
          <cell r="V2234" t="str">
            <v>灯带 150mA 24V</v>
          </cell>
        </row>
        <row r="2235">
          <cell r="B2235" t="str">
            <v>DSC通讯电缆中继器分支</v>
          </cell>
          <cell r="C2235" t="str">
            <v>DSC C/Cable Amplifier Branch</v>
          </cell>
          <cell r="V2235" t="str">
            <v xml:space="preserve">DSC通讯电缆中继器分支 </v>
          </cell>
        </row>
        <row r="2236">
          <cell r="B2236" t="str">
            <v>DSC通讯电缆中继器分支</v>
          </cell>
          <cell r="C2236" t="str">
            <v>DSC C/Cable Amplifier Branch</v>
          </cell>
          <cell r="V2236" t="str">
            <v xml:space="preserve">DSC通讯电缆中继器分支 </v>
          </cell>
        </row>
        <row r="2237">
          <cell r="B2237" t="str">
            <v>焊接链条</v>
          </cell>
          <cell r="C2237" t="str">
            <v>Welding Steel Chain</v>
          </cell>
          <cell r="V2237" t="str">
            <v xml:space="preserve">焊接链条 </v>
          </cell>
        </row>
        <row r="2238">
          <cell r="B2238" t="str">
            <v>焊接链条</v>
          </cell>
          <cell r="C2238" t="str">
            <v>Welding Steel Chain</v>
          </cell>
          <cell r="V2238" t="str">
            <v xml:space="preserve">焊接链条 </v>
          </cell>
        </row>
        <row r="2239">
          <cell r="B2239" t="str">
            <v>软管夹</v>
          </cell>
          <cell r="C2239" t="str">
            <v>Hose Clamp</v>
          </cell>
          <cell r="V2239" t="str">
            <v>软管夹 Type</v>
          </cell>
        </row>
        <row r="2240">
          <cell r="B2240" t="str">
            <v>软管夹</v>
          </cell>
          <cell r="C2240" t="str">
            <v>Hose Clamp</v>
          </cell>
          <cell r="V2240" t="str">
            <v xml:space="preserve">软管夹 </v>
          </cell>
        </row>
        <row r="2241">
          <cell r="B2241" t="str">
            <v>底坑爬梯组件</v>
          </cell>
          <cell r="C2241" t="str">
            <v>Pit Ladder Assy</v>
          </cell>
          <cell r="V2241" t="str">
            <v>底坑爬梯组件 Height(mm)</v>
          </cell>
        </row>
        <row r="2242">
          <cell r="B2242" t="str">
            <v>底坑爬梯组件</v>
          </cell>
          <cell r="C2242" t="str">
            <v>Pit Ladder Assy</v>
          </cell>
          <cell r="V2242" t="str">
            <v>底坑爬梯组件 H3000</v>
          </cell>
        </row>
        <row r="2243">
          <cell r="B2243" t="str">
            <v>轿壁板</v>
          </cell>
          <cell r="C2243" t="str">
            <v>Car Panel Plate</v>
          </cell>
          <cell r="V2243" t="str">
            <v>轿壁板 Panel Width(mm)-Car Height(mm)</v>
          </cell>
        </row>
        <row r="2244">
          <cell r="B2244" t="str">
            <v>轿壁板</v>
          </cell>
          <cell r="C2244" t="str">
            <v>Car Panel Plate</v>
          </cell>
          <cell r="V2244" t="str">
            <v>轿壁板 625 CH2400</v>
          </cell>
        </row>
        <row r="2245">
          <cell r="B2245" t="str">
            <v>抱闸延时板</v>
          </cell>
          <cell r="C2245" t="str">
            <v>Brake Delay Board</v>
          </cell>
          <cell r="V2245" t="str">
            <v xml:space="preserve">抱闸延时板 </v>
          </cell>
        </row>
        <row r="2246">
          <cell r="B2246" t="str">
            <v>抱闸延时板</v>
          </cell>
          <cell r="C2246" t="str">
            <v>Brake Delay Board</v>
          </cell>
          <cell r="V2246" t="str">
            <v xml:space="preserve">抱闸延时板 </v>
          </cell>
        </row>
        <row r="2247">
          <cell r="B2247" t="str">
            <v>下梁框架</v>
          </cell>
          <cell r="C2247" t="str">
            <v>Bottom Beam Frame</v>
          </cell>
          <cell r="V2247" t="str">
            <v>下梁框架 Car Width(mm)</v>
          </cell>
        </row>
        <row r="2248">
          <cell r="B2248" t="str">
            <v>下梁框架</v>
          </cell>
          <cell r="C2248" t="str">
            <v>Bottom Beam Frame</v>
          </cell>
          <cell r="V2248" t="str">
            <v>下梁框架 CW1100</v>
          </cell>
        </row>
        <row r="2249">
          <cell r="B2249" t="str">
            <v>轿顶-MF3信号控制电缆</v>
          </cell>
          <cell r="C2249" t="str">
            <v>Car Roof-MF3 Signal Control Cable</v>
          </cell>
          <cell r="V2249" t="str">
            <v xml:space="preserve">轿顶-MF3信号控制电缆 </v>
          </cell>
        </row>
        <row r="2250">
          <cell r="B2250" t="str">
            <v>轿顶-MF3信号控制电缆</v>
          </cell>
          <cell r="C2250" t="str">
            <v>Car Roof-MF3 Signal Control Cable</v>
          </cell>
          <cell r="V2250" t="str">
            <v xml:space="preserve">轿顶-MF3信号控制电缆 </v>
          </cell>
        </row>
        <row r="2251">
          <cell r="B2251" t="str">
            <v>编程适配器</v>
          </cell>
          <cell r="C2251" t="str">
            <v>Programming Adapter</v>
          </cell>
          <cell r="V2251" t="str">
            <v xml:space="preserve">编程适配器 </v>
          </cell>
        </row>
        <row r="2252">
          <cell r="B2252" t="str">
            <v>编程适配器</v>
          </cell>
          <cell r="C2252" t="str">
            <v>Programming Adapter</v>
          </cell>
          <cell r="V2252" t="str">
            <v xml:space="preserve">编程适配器 </v>
          </cell>
        </row>
        <row r="2253">
          <cell r="B2253" t="str">
            <v>轿顶轮防护罩</v>
          </cell>
          <cell r="C2253" t="str">
            <v>Car Top Pulley Protective Cover</v>
          </cell>
          <cell r="V2253" t="str">
            <v xml:space="preserve">轿顶轮防护罩 </v>
          </cell>
        </row>
        <row r="2254">
          <cell r="B2254" t="str">
            <v>轿顶轮防护罩</v>
          </cell>
          <cell r="C2254" t="str">
            <v>Car Top Pulley Protective Cover</v>
          </cell>
          <cell r="V2254" t="str">
            <v xml:space="preserve">轿顶轮防护罩 </v>
          </cell>
        </row>
        <row r="2255">
          <cell r="B2255" t="str">
            <v>防护罩</v>
          </cell>
          <cell r="C2255" t="str">
            <v>Protective Cover</v>
          </cell>
          <cell r="V2255" t="str">
            <v xml:space="preserve">防护罩 </v>
          </cell>
        </row>
        <row r="2256">
          <cell r="B2256" t="str">
            <v>防护罩</v>
          </cell>
          <cell r="C2256" t="str">
            <v>Protective Cover</v>
          </cell>
          <cell r="V2256" t="str">
            <v xml:space="preserve">防护罩 </v>
          </cell>
        </row>
        <row r="2257">
          <cell r="B2257" t="str">
            <v>锁钩</v>
          </cell>
          <cell r="C2257" t="str">
            <v>Latch Hook</v>
          </cell>
          <cell r="V2257" t="str">
            <v xml:space="preserve">锁钩 </v>
          </cell>
        </row>
        <row r="2258">
          <cell r="B2258" t="str">
            <v>锁钩</v>
          </cell>
          <cell r="C2258" t="str">
            <v>Latch Hook</v>
          </cell>
          <cell r="V2258" t="str">
            <v xml:space="preserve">锁钩 </v>
          </cell>
        </row>
        <row r="2259">
          <cell r="B2259" t="str">
            <v>锁钩组件</v>
          </cell>
          <cell r="C2259" t="str">
            <v>Latch Hook Assy</v>
          </cell>
          <cell r="V2259" t="str">
            <v xml:space="preserve">锁钩组件 </v>
          </cell>
        </row>
        <row r="2260">
          <cell r="B2260" t="str">
            <v>锁钩组件</v>
          </cell>
          <cell r="C2260" t="str">
            <v>Latch Hook Assy</v>
          </cell>
          <cell r="V2260" t="str">
            <v xml:space="preserve">锁钩组件 </v>
          </cell>
        </row>
        <row r="2261">
          <cell r="B2261" t="str">
            <v>刀臂组件</v>
          </cell>
          <cell r="C2261" t="str">
            <v>Cam Elbow Assy</v>
          </cell>
          <cell r="V2261" t="str">
            <v xml:space="preserve">刀臂组件 </v>
          </cell>
        </row>
        <row r="2262">
          <cell r="B2262" t="str">
            <v>刀臂组件</v>
          </cell>
          <cell r="C2262" t="str">
            <v>Cam Elbow Assy</v>
          </cell>
          <cell r="V2262" t="str">
            <v xml:space="preserve">刀臂组件 </v>
          </cell>
        </row>
        <row r="2263">
          <cell r="B2263" t="str">
            <v>轿内开门限制装置</v>
          </cell>
          <cell r="C2263" t="str">
            <v>C/Door Opening limit Device</v>
          </cell>
          <cell r="V2263" t="str">
            <v xml:space="preserve">轿内开门限制装置 </v>
          </cell>
        </row>
        <row r="2264">
          <cell r="B2264" t="str">
            <v>轿内开门限制装置</v>
          </cell>
          <cell r="C2264" t="str">
            <v>C/Door Opening limit Device</v>
          </cell>
          <cell r="V2264" t="str">
            <v xml:space="preserve">轿内开门限制装置 </v>
          </cell>
        </row>
        <row r="2265">
          <cell r="B2265" t="str">
            <v>电路板程序</v>
          </cell>
          <cell r="C2265" t="str">
            <v>Circuit Board's Code</v>
          </cell>
          <cell r="V2265" t="str">
            <v>电路板程序 Type-Name-Version</v>
          </cell>
        </row>
        <row r="2266">
          <cell r="B2266" t="str">
            <v>电路板程序</v>
          </cell>
          <cell r="C2266" t="str">
            <v>Circuit Board's Code</v>
          </cell>
          <cell r="V2266" t="str">
            <v>电路板程序 MC1MC1P5980.HEXV5980</v>
          </cell>
        </row>
        <row r="2267">
          <cell r="B2267" t="str">
            <v>电路板程序</v>
          </cell>
          <cell r="C2267" t="str">
            <v>Circuit Board's Code</v>
          </cell>
          <cell r="V2267" t="str">
            <v>电路板程序 MMMM_03C5.HEXV03C5</v>
          </cell>
        </row>
        <row r="2268">
          <cell r="B2268" t="str">
            <v>电路板程序</v>
          </cell>
          <cell r="C2268" t="str">
            <v>Circuit Board's Code</v>
          </cell>
          <cell r="V2268" t="str">
            <v>电路板程序 MMMM_4300.HEXV4300</v>
          </cell>
        </row>
        <row r="2269">
          <cell r="B2269" t="str">
            <v>电路板程序</v>
          </cell>
          <cell r="C2269" t="str">
            <v>Circuit Board's Code</v>
          </cell>
          <cell r="V2269" t="str">
            <v>电路板程序 SM.02/H02HB05.MHX02HB05</v>
          </cell>
        </row>
        <row r="2270">
          <cell r="B2270" t="str">
            <v>电路板程序</v>
          </cell>
          <cell r="C2270" t="str">
            <v>Circuit Board's Code</v>
          </cell>
          <cell r="V2270" t="str">
            <v>电路板程序 MCU-E1.2B11201023.HEXB11201023</v>
          </cell>
        </row>
        <row r="2271">
          <cell r="B2271" t="str">
            <v>显示板程序</v>
          </cell>
          <cell r="C2271" t="str">
            <v>Display Board's Code</v>
          </cell>
          <cell r="V2271" t="str">
            <v>显示板程序 Type-Model-Name-Version</v>
          </cell>
        </row>
        <row r="2272">
          <cell r="B2272" t="str">
            <v>显示板程序</v>
          </cell>
          <cell r="C2272" t="str">
            <v>Display Board's Code</v>
          </cell>
          <cell r="V2272" t="str">
            <v>显示板程序 SM.04VL16M04VL16HB01.01.mhxV1.1</v>
          </cell>
        </row>
        <row r="2273">
          <cell r="B2273" t="str">
            <v>显示板程序</v>
          </cell>
          <cell r="C2273" t="str">
            <v>Display Board's Code</v>
          </cell>
          <cell r="V2273" t="str">
            <v>显示板程序 SM.04VL16M04VL16JB03.mhxV3.0</v>
          </cell>
        </row>
        <row r="2274">
          <cell r="B2274" t="str">
            <v>显示板程序</v>
          </cell>
          <cell r="C2274" t="str">
            <v>Display Board's Code</v>
          </cell>
          <cell r="V2274" t="str">
            <v>显示板程序 SM.04VL16M04VL16JB02.01.mhxV2.1</v>
          </cell>
        </row>
        <row r="2275">
          <cell r="B2275" t="str">
            <v>显示板程序</v>
          </cell>
          <cell r="C2275" t="str">
            <v>Display Board'sCode</v>
          </cell>
          <cell r="V2275" t="str">
            <v>显示板程序 MA9RMA9-E V3.02.HEXV3.02</v>
          </cell>
        </row>
        <row r="2276">
          <cell r="B2276" t="str">
            <v>显示板程序</v>
          </cell>
          <cell r="C2276" t="str">
            <v>Display Board's Code</v>
          </cell>
          <cell r="V2276" t="str">
            <v>显示板程序 MS3RMS3-E V3.06.HEXV3.06</v>
          </cell>
        </row>
        <row r="2277">
          <cell r="B2277" t="str">
            <v>显示板程序</v>
          </cell>
          <cell r="C2277" t="str">
            <v>Display Board's Code</v>
          </cell>
          <cell r="V2277" t="str">
            <v>显示板程序 LCUV-E1.3SMS3-E V3.06.HEXV3.06</v>
          </cell>
        </row>
        <row r="2278">
          <cell r="B2278" t="str">
            <v>显示板程序</v>
          </cell>
          <cell r="C2278" t="str">
            <v>Display Board's Code</v>
          </cell>
          <cell r="V2278" t="str">
            <v>显示板程序 SM.04/VSYS04VSYB01SFT04.MHX04VSYB01SFT04</v>
          </cell>
        </row>
        <row r="2279">
          <cell r="B2279" t="str">
            <v>显示板程序</v>
          </cell>
          <cell r="C2279" t="str">
            <v>Display Board's Code</v>
          </cell>
          <cell r="V2279" t="str">
            <v>显示板程序 SM.04/HSHS04HSHB02.MHX04HSHB02</v>
          </cell>
        </row>
        <row r="2280">
          <cell r="B2280" t="str">
            <v>Boot程序</v>
          </cell>
          <cell r="C2280" t="str">
            <v>Boot Code</v>
          </cell>
          <cell r="V2280" t="str">
            <v>Boot程序 Type-Name-Version</v>
          </cell>
        </row>
        <row r="2281">
          <cell r="B2281" t="str">
            <v>Boot程序</v>
          </cell>
          <cell r="C2281" t="str">
            <v>Boot Code</v>
          </cell>
          <cell r="V2281" t="str">
            <v>Boot程序 MM-HBMMBOOT03HI.BINV03</v>
          </cell>
        </row>
        <row r="2282">
          <cell r="B2282" t="str">
            <v>Boot程序</v>
          </cell>
          <cell r="C2282" t="str">
            <v>Boot Code</v>
          </cell>
          <cell r="V2282" t="str">
            <v>Boot程序 MM-LBMMBOOT03LO.BINV03</v>
          </cell>
        </row>
        <row r="2283">
          <cell r="B2283" t="str">
            <v>Boot程序</v>
          </cell>
          <cell r="C2283" t="str">
            <v>Boot Code</v>
          </cell>
          <cell r="V2283" t="str">
            <v>Boot程序 MC2MC2_BOOT_V5.HEXV5</v>
          </cell>
        </row>
        <row r="2284">
          <cell r="B2284" t="str">
            <v>门机控制器程序</v>
          </cell>
          <cell r="C2284" t="str">
            <v>Door Operator Controller's Code</v>
          </cell>
          <cell r="V2284" t="str">
            <v>门机控制器程序 Type-Name-Version</v>
          </cell>
        </row>
        <row r="2285">
          <cell r="B2285" t="str">
            <v>门机控制器程序</v>
          </cell>
          <cell r="C2285" t="str">
            <v>Door Operator Controller's Code</v>
          </cell>
          <cell r="V2285" t="str">
            <v>门机控制器程序 F9F9_2606.HEXV2606</v>
          </cell>
        </row>
        <row r="2286">
          <cell r="B2286" t="str">
            <v>门机控制器程序</v>
          </cell>
          <cell r="C2286" t="str">
            <v>Door Operator Controller's Code</v>
          </cell>
          <cell r="V2286" t="str">
            <v>门机控制器程序 K30018c.hex18c</v>
          </cell>
        </row>
        <row r="2287">
          <cell r="B2287" t="str">
            <v>变频器程序</v>
          </cell>
          <cell r="C2287" t="str">
            <v>Inverter's Code</v>
          </cell>
          <cell r="V2287" t="str">
            <v>变频器程序 Type-Name-Version</v>
          </cell>
        </row>
        <row r="2288">
          <cell r="B2288" t="str">
            <v>变频器程序</v>
          </cell>
          <cell r="C2288" t="str">
            <v>Inverter's Code</v>
          </cell>
          <cell r="V2288" t="str">
            <v>变频器程序 CPI-paraTMI_V5.10_I.BINV5.10</v>
          </cell>
        </row>
        <row r="2289">
          <cell r="B2289" t="str">
            <v>变频器程序</v>
          </cell>
          <cell r="C2289" t="str">
            <v>Inverter's Code</v>
          </cell>
          <cell r="V2289" t="str">
            <v>变频器程序 CPI-paraTMI_V5_10_2013_02_18.BINV5.10</v>
          </cell>
        </row>
        <row r="2290">
          <cell r="B2290" t="str">
            <v>变频器程序</v>
          </cell>
          <cell r="C2290" t="str">
            <v>Inverter's Code</v>
          </cell>
          <cell r="V2290" t="str">
            <v>变频器程序 CPI-DSPF130207.OUTF130207</v>
          </cell>
        </row>
        <row r="2291">
          <cell r="B2291" t="str">
            <v>变频器程序</v>
          </cell>
          <cell r="C2291" t="str">
            <v>Inverter's Code</v>
          </cell>
          <cell r="V2291" t="str">
            <v>变频器程序 CPIK05 M1-paraTMI2_SV8p5B_China_20111122.HEXSV8.5B</v>
          </cell>
        </row>
        <row r="2292">
          <cell r="B2292" t="str">
            <v>变频器程序</v>
          </cell>
          <cell r="C2292" t="str">
            <v>Inverter's Code</v>
          </cell>
          <cell r="V2292" t="str">
            <v>变频器程序 CPIK-paraSV8.5A-0026a.HEXSV8.5A</v>
          </cell>
        </row>
        <row r="2293">
          <cell r="B2293" t="str">
            <v>变频器程序</v>
          </cell>
          <cell r="C2293" t="str">
            <v>Inverter's Code</v>
          </cell>
          <cell r="V2293" t="str">
            <v>变频器程序 CPIC-I03204_10103.HEX10103</v>
          </cell>
        </row>
        <row r="2294">
          <cell r="B2294" t="str">
            <v>变频器程序</v>
          </cell>
          <cell r="C2294" t="str">
            <v>Inverter's Code</v>
          </cell>
          <cell r="V2294" t="str">
            <v>变频器程序 CPIC-803804_10703.HEX10703</v>
          </cell>
        </row>
        <row r="2295">
          <cell r="B2295" t="str">
            <v>变频器程序</v>
          </cell>
          <cell r="C2295" t="str">
            <v>Inverter's Code</v>
          </cell>
          <cell r="V2295" t="str">
            <v>变频器程序 CPIC-8-controlNSPE07SFT01.HEXNSPE07SFT01</v>
          </cell>
        </row>
        <row r="2296">
          <cell r="B2296" t="str">
            <v>管帽</v>
          </cell>
          <cell r="C2296" t="str">
            <v>Pipe Cap</v>
          </cell>
          <cell r="V2296" t="str">
            <v xml:space="preserve">管帽 </v>
          </cell>
        </row>
        <row r="2297">
          <cell r="B2297" t="str">
            <v>管帽</v>
          </cell>
          <cell r="C2297" t="str">
            <v>Pipe Cap</v>
          </cell>
          <cell r="V2297" t="str">
            <v xml:space="preserve">管帽 </v>
          </cell>
        </row>
        <row r="2298">
          <cell r="B2298" t="str">
            <v>闸线</v>
          </cell>
          <cell r="C2298" t="str">
            <v>Brake Cable</v>
          </cell>
          <cell r="V2298" t="str">
            <v xml:space="preserve">闸线 </v>
          </cell>
        </row>
        <row r="2299">
          <cell r="B2299" t="str">
            <v>闸线</v>
          </cell>
          <cell r="C2299" t="str">
            <v>Brake Cable</v>
          </cell>
          <cell r="V2299" t="str">
            <v xml:space="preserve">闸线 </v>
          </cell>
        </row>
        <row r="2300">
          <cell r="B2300" t="str">
            <v>圆钢链</v>
          </cell>
          <cell r="C2300" t="str">
            <v>Round Steel Chain</v>
          </cell>
          <cell r="V2300" t="str">
            <v>圆钢链 Type-Nominal Size, d(mm) * Pitch,t(mm)-Standard Code</v>
          </cell>
        </row>
        <row r="2301">
          <cell r="B2301" t="str">
            <v>圆钢链</v>
          </cell>
          <cell r="C2301" t="str">
            <v>Round Steel Chain</v>
          </cell>
          <cell r="V2301" t="str">
            <v>圆钢链 G 4*19 DIN 5685</v>
          </cell>
        </row>
        <row r="2302">
          <cell r="B2302" t="str">
            <v>附加显示板</v>
          </cell>
          <cell r="C2302" t="str">
            <v>Auxiliary Display Board</v>
          </cell>
          <cell r="V2302" t="str">
            <v>附加显示板 Type</v>
          </cell>
        </row>
        <row r="2303">
          <cell r="B2303" t="str">
            <v>附加显示板</v>
          </cell>
          <cell r="C2303" t="str">
            <v>Auxiliary Display Board</v>
          </cell>
          <cell r="V2303" t="str">
            <v>附加显示板 MS3-EHA</v>
          </cell>
        </row>
        <row r="2304">
          <cell r="B2304" t="str">
            <v>自动救援装置安装支架</v>
          </cell>
          <cell r="C2304" t="str">
            <v>ARD Mounting Bracket</v>
          </cell>
          <cell r="V2304" t="str">
            <v>自动救援装置安装支架 ARD Type</v>
          </cell>
        </row>
        <row r="2305">
          <cell r="B2305" t="str">
            <v>自动救援装置安装支架</v>
          </cell>
          <cell r="C2305" t="str">
            <v>ARD Mounting Bracket</v>
          </cell>
          <cell r="V2305" t="str">
            <v>自动救援装置安装支架 DL1-ARD490T17L</v>
          </cell>
        </row>
        <row r="2306">
          <cell r="B2306" t="str">
            <v>钢球</v>
          </cell>
          <cell r="C2306" t="str">
            <v>Steel Ball</v>
          </cell>
          <cell r="V2306" t="str">
            <v>钢球 Ball Dia.(mm)-Standard Code</v>
          </cell>
        </row>
        <row r="2307">
          <cell r="B2307" t="str">
            <v>钢球</v>
          </cell>
          <cell r="C2307" t="str">
            <v>Steel Ball</v>
          </cell>
          <cell r="V2307" t="str">
            <v>钢球 D9GB/T308</v>
          </cell>
        </row>
        <row r="2308">
          <cell r="B2308" t="str">
            <v>推力球轴承</v>
          </cell>
          <cell r="C2308" t="str">
            <v>Thrust Ball Bearing</v>
          </cell>
          <cell r="V2308" t="str">
            <v>推力球轴承 Spec.-Standard Code</v>
          </cell>
        </row>
        <row r="2309">
          <cell r="B2309" t="str">
            <v>推力球轴承</v>
          </cell>
          <cell r="C2309" t="str">
            <v>Thrust ball Bearing</v>
          </cell>
          <cell r="V2309" t="str">
            <v>推力球轴承 51101GB/T301</v>
          </cell>
        </row>
        <row r="2310">
          <cell r="B2310" t="str">
            <v>钢丝绳及套环组件</v>
          </cell>
          <cell r="C2310" t="str">
            <v>Rope &amp; Thimble Assy</v>
          </cell>
          <cell r="V2310" t="str">
            <v>钢丝绳及套环组件 Rope Dia.(mm)</v>
          </cell>
        </row>
        <row r="2311">
          <cell r="B2311" t="str">
            <v>钢丝绳及套环组件</v>
          </cell>
          <cell r="C2311" t="str">
            <v>Rope &amp; Thimble Assy</v>
          </cell>
          <cell r="V2311" t="str">
            <v>钢丝绳及套环组件 8</v>
          </cell>
        </row>
        <row r="2312">
          <cell r="B2312" t="str">
            <v>油枪</v>
          </cell>
          <cell r="C2312" t="str">
            <v>Grease Gun</v>
          </cell>
          <cell r="V2312" t="str">
            <v>油枪 Type</v>
          </cell>
        </row>
        <row r="2313">
          <cell r="B2313" t="str">
            <v>油枪</v>
          </cell>
          <cell r="C2313" t="str">
            <v>Grease Gun</v>
          </cell>
          <cell r="V2313" t="str">
            <v>油枪 YQ001</v>
          </cell>
        </row>
        <row r="2314">
          <cell r="B2314" t="str">
            <v>厅门重锤</v>
          </cell>
          <cell r="C2314" t="str">
            <v>L/Door Closing Weight</v>
          </cell>
          <cell r="V2314" t="str">
            <v xml:space="preserve">厅门重锤 </v>
          </cell>
        </row>
        <row r="2315">
          <cell r="B2315" t="str">
            <v>厅门重锤</v>
          </cell>
          <cell r="C2315" t="str">
            <v>L/Door Closing Weight</v>
          </cell>
          <cell r="V2315" t="str">
            <v xml:space="preserve">厅门重锤 </v>
          </cell>
        </row>
        <row r="2316">
          <cell r="B2316" t="str">
            <v>厅门重锤组件</v>
          </cell>
          <cell r="C2316" t="str">
            <v>L/Door Closing Weight Assy</v>
          </cell>
          <cell r="V2316" t="str">
            <v xml:space="preserve">厅门重锤组件 </v>
          </cell>
        </row>
        <row r="2317">
          <cell r="B2317" t="str">
            <v>厅门重锤组件</v>
          </cell>
          <cell r="C2317" t="str">
            <v>L/Door Closing Weight Assy</v>
          </cell>
          <cell r="V2317" t="str">
            <v xml:space="preserve">厅门重锤组件 </v>
          </cell>
        </row>
        <row r="2318">
          <cell r="B2318" t="str">
            <v>DSC内部通讯电缆</v>
          </cell>
          <cell r="C2318" t="str">
            <v>DSC Internal C/Cable</v>
          </cell>
          <cell r="V2318" t="str">
            <v xml:space="preserve">DSC内部通讯电缆 </v>
          </cell>
        </row>
        <row r="2319">
          <cell r="B2319" t="str">
            <v>DSC内部通讯电缆</v>
          </cell>
          <cell r="C2319" t="str">
            <v>DSC Internal C/Cable</v>
          </cell>
          <cell r="V2319" t="str">
            <v xml:space="preserve">DSC内部通讯电缆 </v>
          </cell>
        </row>
        <row r="2320">
          <cell r="B2320" t="str">
            <v>DSC钥匙开关电缆</v>
          </cell>
          <cell r="C2320" t="str">
            <v>DSC Key S/Cable</v>
          </cell>
          <cell r="V2320" t="str">
            <v xml:space="preserve">DSC钥匙开关电缆 </v>
          </cell>
        </row>
        <row r="2321">
          <cell r="B2321" t="str">
            <v>DSC钥匙开关电缆</v>
          </cell>
          <cell r="C2321" t="str">
            <v>DSC Key S/Cable</v>
          </cell>
          <cell r="V2321" t="str">
            <v xml:space="preserve">DSC钥匙开关电缆 </v>
          </cell>
        </row>
        <row r="2322">
          <cell r="B2322" t="str">
            <v>COP显示窗组件</v>
          </cell>
          <cell r="C2322" t="str">
            <v>COP Display Assy</v>
          </cell>
          <cell r="V2322" t="str">
            <v xml:space="preserve">COP显示窗组件 </v>
          </cell>
        </row>
        <row r="2323">
          <cell r="B2323" t="str">
            <v>COP显示窗组件</v>
          </cell>
          <cell r="C2323" t="str">
            <v>COP Display Assy</v>
          </cell>
          <cell r="V2323" t="str">
            <v xml:space="preserve">COP显示窗组件 </v>
          </cell>
        </row>
        <row r="2324">
          <cell r="B2324" t="str">
            <v>卡片</v>
          </cell>
          <cell r="C2324" t="str">
            <v>Paper Card</v>
          </cell>
          <cell r="V2324" t="str">
            <v xml:space="preserve">卡片 </v>
          </cell>
        </row>
        <row r="2325">
          <cell r="B2325" t="str">
            <v>卡片</v>
          </cell>
          <cell r="C2325" t="str">
            <v>Paper Card</v>
          </cell>
          <cell r="V2325" t="str">
            <v xml:space="preserve">卡片 </v>
          </cell>
        </row>
        <row r="2326">
          <cell r="B2326" t="str">
            <v>导向管</v>
          </cell>
          <cell r="C2326" t="str">
            <v>Guide Tube</v>
          </cell>
          <cell r="V2326" t="str">
            <v xml:space="preserve">导向管 </v>
          </cell>
        </row>
        <row r="2327">
          <cell r="B2327" t="str">
            <v>导向管</v>
          </cell>
          <cell r="C2327" t="str">
            <v>Guide Tube</v>
          </cell>
          <cell r="V2327" t="str">
            <v xml:space="preserve">导向管 </v>
          </cell>
        </row>
        <row r="2328">
          <cell r="B2328" t="str">
            <v>调试接口功能组件</v>
          </cell>
          <cell r="C2328" t="str">
            <v>Diagnostic Interface Function Assy</v>
          </cell>
          <cell r="V2328" t="str">
            <v xml:space="preserve">调试接口功能组件 </v>
          </cell>
        </row>
        <row r="2329">
          <cell r="B2329" t="str">
            <v>调试接口功能组件</v>
          </cell>
          <cell r="C2329" t="str">
            <v>Diagnostic Interface Function Assy</v>
          </cell>
          <cell r="V2329" t="str">
            <v xml:space="preserve">调试接口功能组件 </v>
          </cell>
        </row>
        <row r="2330">
          <cell r="B2330" t="str">
            <v>轿门锁组件</v>
          </cell>
          <cell r="C2330" t="str">
            <v>C/Door Lock Assy</v>
          </cell>
          <cell r="V2330" t="str">
            <v xml:space="preserve">轿门锁组件 </v>
          </cell>
        </row>
        <row r="2331">
          <cell r="B2331" t="str">
            <v>轿门锁组件</v>
          </cell>
          <cell r="C2331" t="str">
            <v>C/Door Lock Assy</v>
          </cell>
          <cell r="V2331" t="str">
            <v xml:space="preserve">轿门锁组件 </v>
          </cell>
        </row>
        <row r="2332">
          <cell r="B2332" t="str">
            <v>方螺母</v>
          </cell>
          <cell r="C2332" t="str">
            <v>Square Nut</v>
          </cell>
          <cell r="V2332" t="str">
            <v>方螺母 Thread Spec-Standard Code</v>
          </cell>
        </row>
        <row r="2333">
          <cell r="B2333" t="str">
            <v>方螺母</v>
          </cell>
          <cell r="C2333" t="str">
            <v>Square Nut</v>
          </cell>
          <cell r="V2333" t="str">
            <v>方螺母 M8 GB/T 39</v>
          </cell>
        </row>
        <row r="2334">
          <cell r="B2334" t="str">
            <v>监控室应急通讯电源组件</v>
          </cell>
          <cell r="C2334" t="str">
            <v>Monitor Room EIAS Power Assy</v>
          </cell>
          <cell r="V2334" t="str">
            <v xml:space="preserve">监控室应急通讯电源组件 </v>
          </cell>
        </row>
        <row r="2335">
          <cell r="B2335" t="str">
            <v>监控室应急通讯电源组件</v>
          </cell>
          <cell r="C2335" t="str">
            <v>Monitor Room EIAS Power Assy</v>
          </cell>
          <cell r="V2335" t="str">
            <v xml:space="preserve">监控室应急通讯电源组件 </v>
          </cell>
        </row>
        <row r="2336">
          <cell r="B2336" t="str">
            <v>解码器组件</v>
          </cell>
          <cell r="C2336" t="str">
            <v>Decoder Assy</v>
          </cell>
          <cell r="V2336" t="str">
            <v xml:space="preserve">解码器组件 </v>
          </cell>
        </row>
        <row r="2337">
          <cell r="B2337" t="str">
            <v>解码器组件</v>
          </cell>
          <cell r="C2337" t="str">
            <v>Decoder Assy</v>
          </cell>
          <cell r="V2337" t="str">
            <v xml:space="preserve">解码器组件 </v>
          </cell>
        </row>
        <row r="2338">
          <cell r="B2338" t="str">
            <v>曳引轮组件半成品</v>
          </cell>
          <cell r="C2338" t="str">
            <v>Semi-finished T.Pulley Assy</v>
          </cell>
          <cell r="V2338" t="str">
            <v xml:space="preserve">曳引轮组件半成品 </v>
          </cell>
        </row>
        <row r="2339">
          <cell r="B2339" t="str">
            <v>曳引轮组件半成品</v>
          </cell>
          <cell r="C2339" t="str">
            <v>Semi-finished T.Pulley Assy</v>
          </cell>
          <cell r="V2339" t="str">
            <v xml:space="preserve">曳引轮组件半成品 </v>
          </cell>
        </row>
        <row r="2340">
          <cell r="B2340" t="str">
            <v>主COP-副COP通讯电缆</v>
          </cell>
          <cell r="C2340" t="str">
            <v>Main COP-Auxiliary COP C/Cable</v>
          </cell>
          <cell r="V2340" t="str">
            <v xml:space="preserve">主COP-副COP通讯电缆 </v>
          </cell>
        </row>
        <row r="2341">
          <cell r="B2341" t="str">
            <v>主COP-副COP通讯电缆</v>
          </cell>
          <cell r="C2341" t="str">
            <v>Main COP-Auxiliary COP C/Cable</v>
          </cell>
          <cell r="V2341" t="str">
            <v xml:space="preserve">主COP-副COP通讯电缆 </v>
          </cell>
        </row>
        <row r="2342">
          <cell r="B2342" t="str">
            <v>主COP-副COP电源电缆</v>
          </cell>
          <cell r="C2342" t="str">
            <v>Main COP-Auxiliary COP P/Cable</v>
          </cell>
          <cell r="V2342" t="str">
            <v xml:space="preserve">主COP-副COP电源电缆 </v>
          </cell>
        </row>
        <row r="2343">
          <cell r="B2343" t="str">
            <v>主COP-副COP电源电缆</v>
          </cell>
          <cell r="C2343" t="str">
            <v>Main COP-Auxiliary COP P/Cable</v>
          </cell>
          <cell r="V2343" t="str">
            <v xml:space="preserve">主COP-副COP电源电缆 </v>
          </cell>
        </row>
        <row r="2344">
          <cell r="B2344" t="str">
            <v>夹绳装置</v>
          </cell>
          <cell r="C2344" t="str">
            <v>Rope Clamp</v>
          </cell>
          <cell r="V2344" t="str">
            <v>夹绳装置 Min. Rope Dia.(mm)Max. Rope Dia.(mm)</v>
          </cell>
        </row>
        <row r="2345">
          <cell r="B2345" t="str">
            <v>夹绳装置</v>
          </cell>
          <cell r="C2345" t="str">
            <v>Rope Clamp</v>
          </cell>
          <cell r="V2345" t="str">
            <v>夹绳装置 d6-d10</v>
          </cell>
        </row>
        <row r="2346">
          <cell r="B2346" t="str">
            <v>静夹绳块</v>
          </cell>
          <cell r="C2346" t="str">
            <v>Fixed Jaw</v>
          </cell>
          <cell r="V2346" t="str">
            <v xml:space="preserve">静夹绳块 </v>
          </cell>
        </row>
        <row r="2347">
          <cell r="B2347" t="str">
            <v>静夹绳块</v>
          </cell>
          <cell r="C2347" t="str">
            <v>Fixed Jaw</v>
          </cell>
          <cell r="V2347" t="str">
            <v xml:space="preserve">静夹绳块 </v>
          </cell>
        </row>
        <row r="2348">
          <cell r="B2348" t="str">
            <v>动夹绳块</v>
          </cell>
          <cell r="C2348" t="str">
            <v>Moveable Jaw</v>
          </cell>
          <cell r="V2348" t="str">
            <v xml:space="preserve">动夹绳块 </v>
          </cell>
        </row>
        <row r="2349">
          <cell r="B2349" t="str">
            <v>动夹绳块</v>
          </cell>
          <cell r="C2349" t="str">
            <v>Moveable Jaw</v>
          </cell>
          <cell r="V2349" t="str">
            <v xml:space="preserve">动夹绳块 </v>
          </cell>
        </row>
        <row r="2350">
          <cell r="B2350" t="str">
            <v>摩擦片</v>
          </cell>
          <cell r="C2350" t="str">
            <v>Friction Lining</v>
          </cell>
          <cell r="V2350" t="str">
            <v xml:space="preserve">摩擦片 </v>
          </cell>
        </row>
        <row r="2351">
          <cell r="B2351" t="str">
            <v>摩擦片</v>
          </cell>
          <cell r="C2351" t="str">
            <v>Friction Lining</v>
          </cell>
          <cell r="V2351" t="str">
            <v xml:space="preserve">摩擦片 </v>
          </cell>
        </row>
        <row r="2352">
          <cell r="B2352" t="str">
            <v>定距板</v>
          </cell>
          <cell r="C2352" t="str">
            <v>Space Plate</v>
          </cell>
          <cell r="V2352" t="str">
            <v xml:space="preserve">定距板 </v>
          </cell>
        </row>
        <row r="2353">
          <cell r="B2353" t="str">
            <v>定距板</v>
          </cell>
          <cell r="C2353" t="str">
            <v>Space Plate</v>
          </cell>
          <cell r="V2353" t="str">
            <v xml:space="preserve">定距板 </v>
          </cell>
        </row>
        <row r="2354">
          <cell r="B2354" t="str">
            <v>控制柜EMC组件</v>
          </cell>
          <cell r="C2354" t="str">
            <v>Controller EMC Function Assy</v>
          </cell>
          <cell r="V2354" t="str">
            <v xml:space="preserve">控制柜EMC组件 </v>
          </cell>
        </row>
        <row r="2355">
          <cell r="B2355" t="str">
            <v>控制柜EMC组件</v>
          </cell>
          <cell r="C2355" t="str">
            <v>Controller EMC Function Assy</v>
          </cell>
          <cell r="V2355" t="str">
            <v xml:space="preserve">控制柜EMC组件 </v>
          </cell>
        </row>
        <row r="2356">
          <cell r="B2356" t="str">
            <v>UCMP功能组件</v>
          </cell>
          <cell r="C2356" t="str">
            <v>UCMP Function Assy</v>
          </cell>
          <cell r="V2356" t="str">
            <v xml:space="preserve">UCMP功能组件 </v>
          </cell>
        </row>
        <row r="2357">
          <cell r="B2357" t="str">
            <v>UCMP功能组件</v>
          </cell>
          <cell r="C2357" t="str">
            <v>UCMP Function Assy</v>
          </cell>
          <cell r="V2357" t="str">
            <v xml:space="preserve">UCMP功能组件 </v>
          </cell>
        </row>
        <row r="2358">
          <cell r="B2358" t="str">
            <v>扁钢</v>
          </cell>
          <cell r="C2358" t="str">
            <v>Flat Steel</v>
          </cell>
          <cell r="V2358" t="str">
            <v xml:space="preserve">扁钢 </v>
          </cell>
        </row>
        <row r="2359">
          <cell r="B2359" t="str">
            <v>扁钢</v>
          </cell>
          <cell r="C2359" t="str">
            <v>Flat Steel</v>
          </cell>
          <cell r="V2359" t="str">
            <v xml:space="preserve">扁钢 </v>
          </cell>
        </row>
        <row r="2360">
          <cell r="B2360" t="str">
            <v>滚花高螺母</v>
          </cell>
          <cell r="C2360" t="str">
            <v>Knurled Nut with Collar</v>
          </cell>
          <cell r="V2360" t="str">
            <v>滚花高螺母 Thread Spec-Standard Code-Surface Finish</v>
          </cell>
        </row>
        <row r="2361">
          <cell r="B2361" t="str">
            <v>滚花高螺母</v>
          </cell>
          <cell r="C2361" t="str">
            <v>Knurled Nut with Collar</v>
          </cell>
          <cell r="V2361" t="str">
            <v>滚花高螺母 M6 GB/T 806 NF</v>
          </cell>
        </row>
        <row r="2362">
          <cell r="B2362" t="str">
            <v>滚花高螺母</v>
          </cell>
          <cell r="C2362" t="str">
            <v>Knurled Nut with Collar</v>
          </cell>
          <cell r="V2362" t="str">
            <v>滚花高螺母 M6 GB/T 806 W/Zn</v>
          </cell>
        </row>
        <row r="2363">
          <cell r="B2363" t="str">
            <v>锁紧螺母</v>
          </cell>
          <cell r="C2363" t="str">
            <v>Prevailing Torque Hexagon Nuts</v>
          </cell>
          <cell r="V2363" t="str">
            <v>锁紧螺母 Thread Spec-Property Class-Standard Code-Surface Finish</v>
          </cell>
        </row>
        <row r="2364">
          <cell r="B2364" t="str">
            <v>锁紧螺母</v>
          </cell>
          <cell r="C2364" t="str">
            <v>Prevailing Torque Hexagon Nuts</v>
          </cell>
          <cell r="V2364" t="str">
            <v>锁紧螺母 M6 8 GB/T889.1 NF</v>
          </cell>
        </row>
        <row r="2365">
          <cell r="B2365" t="str">
            <v>锁紧螺母</v>
          </cell>
          <cell r="C2365" t="str">
            <v>Prevailing Torque Hexagon Nuts</v>
          </cell>
          <cell r="V2365" t="str">
            <v>锁紧螺母 M6 8 GB/T889.1 W/Zn</v>
          </cell>
        </row>
        <row r="2366">
          <cell r="B2366" t="str">
            <v>保持架</v>
          </cell>
          <cell r="C2366" t="str">
            <v>Cage</v>
          </cell>
          <cell r="V2366" t="str">
            <v xml:space="preserve">保持架 </v>
          </cell>
        </row>
        <row r="2367">
          <cell r="B2367" t="str">
            <v>保持架</v>
          </cell>
          <cell r="C2367" t="str">
            <v>Cage</v>
          </cell>
          <cell r="V2367" t="str">
            <v xml:space="preserve">保持架 </v>
          </cell>
        </row>
        <row r="2368">
          <cell r="B2368" t="str">
            <v>侧梁</v>
          </cell>
          <cell r="C2368" t="str">
            <v>Side Beam</v>
          </cell>
          <cell r="V2368" t="str">
            <v xml:space="preserve">侧梁 </v>
          </cell>
        </row>
        <row r="2369">
          <cell r="B2369" t="str">
            <v>侧梁</v>
          </cell>
          <cell r="C2369" t="str">
            <v>Side Beam</v>
          </cell>
          <cell r="V2369" t="str">
            <v xml:space="preserve">侧梁 </v>
          </cell>
        </row>
        <row r="2370">
          <cell r="B2370" t="str">
            <v>导向轮支架焊接件</v>
          </cell>
          <cell r="C2370" t="str">
            <v>Deflection Pulley Bracket Weldment</v>
          </cell>
          <cell r="V2370" t="str">
            <v xml:space="preserve">导向轮支架焊接件 </v>
          </cell>
        </row>
        <row r="2371">
          <cell r="B2371" t="str">
            <v>导向轮支架焊接件</v>
          </cell>
          <cell r="C2371" t="str">
            <v>Deflection Pulley Bracket Weldment</v>
          </cell>
          <cell r="V2371" t="str">
            <v xml:space="preserve">导向轮支架焊接件 </v>
          </cell>
        </row>
        <row r="2372">
          <cell r="B2372" t="str">
            <v>踢脚板附件</v>
          </cell>
          <cell r="C2372" t="str">
            <v>Kick Plate Accessories</v>
          </cell>
          <cell r="V2372" t="str">
            <v xml:space="preserve">踢脚板附件 </v>
          </cell>
        </row>
        <row r="2373">
          <cell r="B2373" t="str">
            <v>踢脚板附件</v>
          </cell>
          <cell r="C2373" t="str">
            <v>Kick Plate Accessories</v>
          </cell>
          <cell r="V2373" t="str">
            <v xml:space="preserve">踢脚板附件 </v>
          </cell>
        </row>
        <row r="2374">
          <cell r="B2374" t="str">
            <v>制动器测试功能组件</v>
          </cell>
          <cell r="C2374" t="str">
            <v>Brake Testing Function Assy</v>
          </cell>
          <cell r="V2374" t="str">
            <v xml:space="preserve">制动器测试功能组件 </v>
          </cell>
        </row>
        <row r="2375">
          <cell r="B2375" t="str">
            <v>制动器测试功能组件</v>
          </cell>
          <cell r="C2375" t="str">
            <v>Brake Testing Function Assy</v>
          </cell>
          <cell r="V2375" t="str">
            <v xml:space="preserve">制动器测试功能组件 </v>
          </cell>
        </row>
        <row r="2376">
          <cell r="B2376" t="str">
            <v>钢丝绳提升装置</v>
          </cell>
          <cell r="C2376" t="str">
            <v>Rope Pulling Device</v>
          </cell>
          <cell r="V2376" t="str">
            <v>钢丝绳提升装置 Groove quantity-Rope Dia.(mm)-Groove distance(mm)</v>
          </cell>
        </row>
        <row r="2377">
          <cell r="B2377" t="str">
            <v>钢丝绳提升装置</v>
          </cell>
          <cell r="C2377" t="str">
            <v>Rope Pulling Device</v>
          </cell>
          <cell r="V2377" t="str">
            <v>钢丝绳提升装置 n7 d10 s14</v>
          </cell>
        </row>
        <row r="2378">
          <cell r="B2378" t="str">
            <v>调节螺杆组件</v>
          </cell>
          <cell r="C2378" t="str">
            <v>Adjusting Screw Rod Assy</v>
          </cell>
          <cell r="V2378" t="str">
            <v xml:space="preserve">调节螺杆组件 </v>
          </cell>
        </row>
        <row r="2379">
          <cell r="B2379" t="str">
            <v>调节螺杆组件</v>
          </cell>
          <cell r="C2379" t="str">
            <v>Adjusting Screw Rod Assy</v>
          </cell>
          <cell r="V2379" t="str">
            <v xml:space="preserve">调节螺杆组件 </v>
          </cell>
        </row>
        <row r="2380">
          <cell r="B2380" t="str">
            <v>夹绳块</v>
          </cell>
          <cell r="C2380" t="str">
            <v>Rope Clamp Jaw</v>
          </cell>
          <cell r="V2380" t="str">
            <v xml:space="preserve">夹绳块 </v>
          </cell>
        </row>
        <row r="2381">
          <cell r="B2381" t="str">
            <v>夹绳块</v>
          </cell>
          <cell r="C2381" t="str">
            <v>Rope Clamp Jaw</v>
          </cell>
          <cell r="V2381" t="str">
            <v xml:space="preserve">夹绳块 </v>
          </cell>
        </row>
        <row r="2382">
          <cell r="B2382" t="str">
            <v>Keytego读卡器电源电缆</v>
          </cell>
          <cell r="C2382" t="str">
            <v>Keytego Card Reader P/Cable</v>
          </cell>
          <cell r="V2382" t="str">
            <v xml:space="preserve">Keytego读卡器电源电缆 </v>
          </cell>
        </row>
        <row r="2383">
          <cell r="B2383" t="str">
            <v>Keytego读卡器电源电缆</v>
          </cell>
          <cell r="C2383" t="str">
            <v>Keytego Card Reader P/Cable</v>
          </cell>
          <cell r="V2383" t="str">
            <v xml:space="preserve">Keytego读卡器电源电缆 </v>
          </cell>
        </row>
        <row r="2384">
          <cell r="B2384" t="str">
            <v>Keytego读卡器通讯电缆</v>
          </cell>
          <cell r="C2384" t="str">
            <v>Keytego Card Reader C/Cable</v>
          </cell>
          <cell r="V2384" t="str">
            <v xml:space="preserve">Keytego读卡器通讯电缆 </v>
          </cell>
        </row>
        <row r="2385">
          <cell r="B2385" t="str">
            <v>Keytego读卡器通讯电缆</v>
          </cell>
          <cell r="C2385" t="str">
            <v>Keytego Card Reader C/Cable</v>
          </cell>
          <cell r="V2385" t="str">
            <v xml:space="preserve">Keytego读卡器通讯电缆 </v>
          </cell>
        </row>
        <row r="2386">
          <cell r="B2386" t="str">
            <v>Keytego读卡器电源电缆分支</v>
          </cell>
          <cell r="C2386" t="str">
            <v>Keytego Card Reader P/Cable Branch</v>
          </cell>
          <cell r="V2386" t="str">
            <v xml:space="preserve">Keytego读卡器电源电缆分支 </v>
          </cell>
        </row>
        <row r="2387">
          <cell r="B2387" t="str">
            <v>Keytego读卡器电源电缆分支</v>
          </cell>
          <cell r="C2387" t="str">
            <v>Keytego Card Reader P/Cable Branch</v>
          </cell>
          <cell r="V2387" t="str">
            <v xml:space="preserve">Keytego读卡器电源电缆分支 </v>
          </cell>
        </row>
        <row r="2388">
          <cell r="B2388" t="str">
            <v>Keytego读卡器通讯电缆分支</v>
          </cell>
          <cell r="C2388" t="str">
            <v>Keytego Card Reader C/Cable Branch</v>
          </cell>
          <cell r="V2388" t="str">
            <v xml:space="preserve">Keytego读卡器通讯电缆分支 </v>
          </cell>
        </row>
        <row r="2389">
          <cell r="B2389" t="str">
            <v>Keytego读卡器通讯电缆分支</v>
          </cell>
          <cell r="C2389" t="str">
            <v>Keytego Card Reader C/Cable Branch</v>
          </cell>
          <cell r="V2389" t="str">
            <v xml:space="preserve">Keytego读卡器通讯电缆分支 </v>
          </cell>
        </row>
        <row r="2390">
          <cell r="B2390" t="str">
            <v>齿形带</v>
          </cell>
          <cell r="C2390" t="str">
            <v>Tooth Belt</v>
          </cell>
          <cell r="V2390" t="str">
            <v>齿形带 Type Code-Length(mm)-Standard Code</v>
          </cell>
        </row>
        <row r="2391">
          <cell r="B2391" t="str">
            <v>齿形带</v>
          </cell>
          <cell r="C2391" t="str">
            <v>Tooth Belt</v>
          </cell>
          <cell r="V2391" t="str">
            <v>齿形带 5MR25 2615 JB/T7512.1</v>
          </cell>
        </row>
        <row r="2392">
          <cell r="B2392" t="str">
            <v>无头铆钉</v>
          </cell>
          <cell r="C2392" t="str">
            <v>Headless Rivets</v>
          </cell>
          <cell r="V2392" t="str">
            <v>无头铆钉 d×l (mm)-Standard Code</v>
          </cell>
        </row>
        <row r="2393">
          <cell r="B2393" t="str">
            <v>无头铆钉</v>
          </cell>
          <cell r="C2393" t="str">
            <v>Headless Rivets</v>
          </cell>
          <cell r="V2393" t="str">
            <v>无头铆钉 5×30 GB/T1016</v>
          </cell>
        </row>
        <row r="2394">
          <cell r="B2394" t="str">
            <v>调心滚子轴承</v>
          </cell>
          <cell r="C2394" t="str">
            <v>Self-aligning Roller Bearing</v>
          </cell>
          <cell r="V2394" t="str">
            <v>调心滚子轴承 Type Code-Manufactrurer/Standard Code</v>
          </cell>
        </row>
        <row r="2395">
          <cell r="B2395" t="str">
            <v>调心滚子轴承</v>
          </cell>
          <cell r="C2395" t="str">
            <v>Self-aligning Roller Bearing</v>
          </cell>
          <cell r="V2395" t="str">
            <v>调心滚子轴承 22217CA/W33SPM GB/T1016</v>
          </cell>
        </row>
        <row r="2396">
          <cell r="B2396" t="str">
            <v>调心滚子轴承</v>
          </cell>
          <cell r="C2396" t="str">
            <v>Self-aligning Roller Bearing</v>
          </cell>
          <cell r="V2396" t="str">
            <v>调心滚子轴承 22217CA/W33SPM TWB</v>
          </cell>
        </row>
        <row r="2397">
          <cell r="B2397" t="str">
            <v>六角头螺杆带孔螺栓</v>
          </cell>
          <cell r="C2397" t="str">
            <v>Hexagon Bolt with Split Pin Hole on Shank</v>
          </cell>
          <cell r="V2397" t="str">
            <v>六角头螺杆带孔螺栓 Spec.-Property Class-Standard Code-Surface Finish</v>
          </cell>
        </row>
        <row r="2398">
          <cell r="B2398" t="str">
            <v>六角头螺杆带孔螺栓</v>
          </cell>
          <cell r="C2398" t="str">
            <v>Hexagon Bolt with Split Pin Hole on Shank</v>
          </cell>
          <cell r="V2398" t="str">
            <v>六角头螺杆带孔螺栓 M12×80 5.8 GB/T31.2 W/Zn</v>
          </cell>
        </row>
        <row r="2399">
          <cell r="B2399" t="str">
            <v>十字槽圆柱头螺钉</v>
          </cell>
          <cell r="C2399" t="str">
            <v>Cheese Head Screws with Cross Recess</v>
          </cell>
          <cell r="V2399" t="str">
            <v>十字槽圆柱头螺钉 Recess Type-Spec-Property Class-Standard Code-Surface Finish</v>
          </cell>
        </row>
        <row r="2400">
          <cell r="B2400" t="str">
            <v>十字槽圆柱头螺钉</v>
          </cell>
          <cell r="C2400" t="str">
            <v>Cheese Head Screws with Cross Recess</v>
          </cell>
          <cell r="V2400" t="str">
            <v>十字槽圆柱头螺钉 H M5×20 5.8 GB/T822 W/Zn</v>
          </cell>
        </row>
        <row r="2401">
          <cell r="B2401" t="str">
            <v>圆柱销</v>
          </cell>
          <cell r="C2401" t="str">
            <v>Parallel Pins</v>
          </cell>
          <cell r="V2401" t="str">
            <v>圆柱销 Spec-Standard Code-Surface Finish</v>
          </cell>
        </row>
        <row r="2402">
          <cell r="B2402" t="str">
            <v>圆柱销</v>
          </cell>
          <cell r="C2402" t="str">
            <v>Parallel Pins</v>
          </cell>
          <cell r="V2402" t="str">
            <v>圆柱销 6×30 GB/T31.2 W/Zn</v>
          </cell>
        </row>
        <row r="2403">
          <cell r="B2403" t="str">
            <v>圆柱销</v>
          </cell>
          <cell r="C2403" t="str">
            <v>Parallel Pins</v>
          </cell>
          <cell r="V2403" t="str">
            <v>圆柱销 6×30-A1 GB/T31.2NF</v>
          </cell>
        </row>
        <row r="2404">
          <cell r="B2404" t="str">
            <v>蝶形螺钉</v>
          </cell>
          <cell r="C2404" t="str">
            <v>Wing Screws</v>
          </cell>
          <cell r="V2404" t="str">
            <v>蝶形螺钉 Spec.-Property Class-Product Class-Standard Code-Surface Finish</v>
          </cell>
        </row>
        <row r="2405">
          <cell r="B2405" t="str">
            <v>蝶形螺钉</v>
          </cell>
          <cell r="C2405" t="str">
            <v>Wing Screws</v>
          </cell>
          <cell r="V2405" t="str">
            <v>蝶形螺钉 M6×20 GT B DIN316 W/Zn</v>
          </cell>
        </row>
        <row r="2406">
          <cell r="B2406" t="str">
            <v>蝶形螺钉</v>
          </cell>
          <cell r="C2406" t="str">
            <v>Wing Screws</v>
          </cell>
          <cell r="V2406" t="str">
            <v>蝶形螺钉 M6×20 St B DIN316 NF</v>
          </cell>
        </row>
        <row r="2407">
          <cell r="B2407" t="str">
            <v>蝶形螺钉</v>
          </cell>
          <cell r="C2407" t="str">
            <v>Wing Screws</v>
          </cell>
          <cell r="V2407" t="str">
            <v>蝶形螺钉 M6×20 CuZn B DIN316 W/Zn</v>
          </cell>
        </row>
        <row r="2408">
          <cell r="B2408" t="str">
            <v>到站灯</v>
          </cell>
          <cell r="C2408" t="str">
            <v>Hall Lantern</v>
          </cell>
          <cell r="V2408" t="str">
            <v>到站灯 Type Code</v>
          </cell>
        </row>
        <row r="2409">
          <cell r="B2409" t="str">
            <v>到站灯</v>
          </cell>
          <cell r="C2409" t="str">
            <v>Hall Lantern</v>
          </cell>
          <cell r="V2409" t="str">
            <v>到站灯 HL104</v>
          </cell>
        </row>
        <row r="2410">
          <cell r="B2410" t="str">
            <v>导靴座</v>
          </cell>
          <cell r="C2410" t="str">
            <v>Guide Shoe Seat</v>
          </cell>
          <cell r="V2410" t="str">
            <v>导靴座 导靴座Guide Shoe Seat</v>
          </cell>
        </row>
        <row r="2411">
          <cell r="B2411" t="str">
            <v>导靴座</v>
          </cell>
          <cell r="C2411" t="str">
            <v>Guide Shoe Seat</v>
          </cell>
          <cell r="V2411" t="str">
            <v xml:space="preserve">导靴座 </v>
          </cell>
        </row>
        <row r="2412">
          <cell r="B2412" t="str">
            <v>导靴座组件</v>
          </cell>
          <cell r="C2412" t="str">
            <v>Guide Shoe Seat Assy</v>
          </cell>
          <cell r="V2412" t="str">
            <v>导靴座组件 导靴座组件Guide Shoe Seat Assy</v>
          </cell>
        </row>
        <row r="2413">
          <cell r="B2413" t="str">
            <v>导靴座组件</v>
          </cell>
          <cell r="C2413" t="str">
            <v>Guide Shoe Seat Assy</v>
          </cell>
          <cell r="V2413" t="str">
            <v xml:space="preserve">导靴座组件 </v>
          </cell>
        </row>
        <row r="2414">
          <cell r="B2414" t="str">
            <v>导靴座焊接件</v>
          </cell>
          <cell r="C2414" t="str">
            <v>Guide Shoe Seat Weldment</v>
          </cell>
          <cell r="V2414" t="str">
            <v>导靴座焊接件 导靴座焊接件Guide Shoe Seat Weldment</v>
          </cell>
        </row>
        <row r="2415">
          <cell r="B2415" t="str">
            <v>导靴座焊接件</v>
          </cell>
          <cell r="C2415" t="str">
            <v>Guide Shoe Seat Weldment</v>
          </cell>
          <cell r="V2415" t="str">
            <v xml:space="preserve">导靴座焊接件 </v>
          </cell>
        </row>
        <row r="2416">
          <cell r="B2416" t="str">
            <v>导靴安装板</v>
          </cell>
          <cell r="C2416" t="str">
            <v>Guide Shoe Fixing Plate</v>
          </cell>
          <cell r="V2416" t="str">
            <v>导靴安装板 导靴安装板Guide Shoe Fixing Plate</v>
          </cell>
        </row>
        <row r="2417">
          <cell r="B2417" t="str">
            <v>导靴安装板</v>
          </cell>
          <cell r="C2417" t="str">
            <v>Guide Shoe Fixing Plate</v>
          </cell>
          <cell r="V2417" t="str">
            <v xml:space="preserve">导靴安装板 </v>
          </cell>
        </row>
        <row r="2418">
          <cell r="B2418" t="str">
            <v>到站灯电缆</v>
          </cell>
          <cell r="C2418" t="str">
            <v>Hall Lantern Cable</v>
          </cell>
          <cell r="V2418" t="str">
            <v>到站灯电缆 到站灯电缆Hall Lantern Cable</v>
          </cell>
        </row>
        <row r="2419">
          <cell r="B2419" t="str">
            <v>到站灯电缆</v>
          </cell>
          <cell r="C2419" t="str">
            <v>Hall Lantern Cable</v>
          </cell>
          <cell r="V2419" t="str">
            <v xml:space="preserve">到站灯电缆 </v>
          </cell>
        </row>
        <row r="2420">
          <cell r="B2420" t="str">
            <v>定位环</v>
          </cell>
          <cell r="C2420" t="str">
            <v>Locating Ring</v>
          </cell>
          <cell r="V2420" t="str">
            <v>定位环 定位环Locating Ring</v>
          </cell>
        </row>
        <row r="2421">
          <cell r="B2421" t="str">
            <v>定位环</v>
          </cell>
          <cell r="C2421" t="str">
            <v>Locating Ring</v>
          </cell>
          <cell r="V2421" t="str">
            <v xml:space="preserve">定位环 </v>
          </cell>
        </row>
        <row r="2422">
          <cell r="B2422">
            <v>0</v>
          </cell>
          <cell r="C2422">
            <v>0</v>
          </cell>
          <cell r="V2422" t="str">
            <v xml:space="preserve"> </v>
          </cell>
        </row>
        <row r="2423">
          <cell r="B2423">
            <v>0</v>
          </cell>
          <cell r="C2423">
            <v>0</v>
          </cell>
          <cell r="V2423" t="str">
            <v xml:space="preserve"> </v>
          </cell>
        </row>
        <row r="2424">
          <cell r="B2424">
            <v>0</v>
          </cell>
          <cell r="C2424">
            <v>0</v>
          </cell>
          <cell r="V2424" t="str">
            <v xml:space="preserve"> </v>
          </cell>
        </row>
        <row r="2425">
          <cell r="B2425">
            <v>0</v>
          </cell>
          <cell r="C2425">
            <v>0</v>
          </cell>
          <cell r="V2425" t="str">
            <v xml:space="preserve"> </v>
          </cell>
        </row>
        <row r="2426">
          <cell r="B2426">
            <v>0</v>
          </cell>
          <cell r="C2426">
            <v>0</v>
          </cell>
          <cell r="V2426" t="str">
            <v xml:space="preserve"> </v>
          </cell>
        </row>
        <row r="2427">
          <cell r="B2427">
            <v>0</v>
          </cell>
          <cell r="C2427">
            <v>0</v>
          </cell>
          <cell r="V2427" t="str">
            <v xml:space="preserve"> </v>
          </cell>
        </row>
        <row r="2428">
          <cell r="B2428">
            <v>0</v>
          </cell>
          <cell r="C2428">
            <v>0</v>
          </cell>
          <cell r="V2428" t="str">
            <v xml:space="preserve"> </v>
          </cell>
        </row>
        <row r="2429">
          <cell r="B2429">
            <v>0</v>
          </cell>
          <cell r="C2429">
            <v>0</v>
          </cell>
          <cell r="V2429" t="str">
            <v xml:space="preserve"> </v>
          </cell>
        </row>
        <row r="2430">
          <cell r="B2430">
            <v>0</v>
          </cell>
          <cell r="C2430">
            <v>0</v>
          </cell>
          <cell r="V2430" t="str">
            <v xml:space="preserve"> </v>
          </cell>
        </row>
        <row r="2431">
          <cell r="B2431">
            <v>0</v>
          </cell>
          <cell r="C2431">
            <v>0</v>
          </cell>
          <cell r="V2431" t="str">
            <v xml:space="preserve"> </v>
          </cell>
        </row>
        <row r="2432">
          <cell r="B2432">
            <v>0</v>
          </cell>
          <cell r="C2432">
            <v>0</v>
          </cell>
          <cell r="V2432" t="str">
            <v xml:space="preserve"> </v>
          </cell>
        </row>
        <row r="2433">
          <cell r="B2433">
            <v>0</v>
          </cell>
          <cell r="C2433">
            <v>0</v>
          </cell>
          <cell r="V2433" t="str">
            <v xml:space="preserve"> </v>
          </cell>
        </row>
        <row r="2434">
          <cell r="B2434">
            <v>0</v>
          </cell>
          <cell r="C2434">
            <v>0</v>
          </cell>
          <cell r="V2434" t="str">
            <v xml:space="preserve"> </v>
          </cell>
        </row>
        <row r="2435">
          <cell r="B2435">
            <v>0</v>
          </cell>
          <cell r="C2435">
            <v>0</v>
          </cell>
          <cell r="V2435" t="str">
            <v xml:space="preserve"> </v>
          </cell>
        </row>
        <row r="2436">
          <cell r="B2436">
            <v>0</v>
          </cell>
          <cell r="C2436">
            <v>0</v>
          </cell>
          <cell r="V2436" t="str">
            <v xml:space="preserve"> </v>
          </cell>
        </row>
        <row r="2437">
          <cell r="B2437">
            <v>0</v>
          </cell>
          <cell r="C2437">
            <v>0</v>
          </cell>
          <cell r="V2437" t="str">
            <v xml:space="preserve"> </v>
          </cell>
        </row>
        <row r="2438">
          <cell r="B2438">
            <v>0</v>
          </cell>
          <cell r="C2438">
            <v>0</v>
          </cell>
          <cell r="V2438" t="str">
            <v xml:space="preserve"> </v>
          </cell>
        </row>
        <row r="2439">
          <cell r="B2439">
            <v>0</v>
          </cell>
          <cell r="C2439">
            <v>0</v>
          </cell>
          <cell r="V2439" t="str">
            <v xml:space="preserve"> </v>
          </cell>
        </row>
        <row r="2440">
          <cell r="B2440">
            <v>0</v>
          </cell>
          <cell r="C2440">
            <v>0</v>
          </cell>
          <cell r="V2440" t="str">
            <v xml:space="preserve"> </v>
          </cell>
        </row>
        <row r="2441">
          <cell r="B2441">
            <v>0</v>
          </cell>
          <cell r="C2441">
            <v>0</v>
          </cell>
          <cell r="V2441" t="str">
            <v xml:space="preserve"> </v>
          </cell>
        </row>
        <row r="2442">
          <cell r="B2442">
            <v>0</v>
          </cell>
          <cell r="C2442">
            <v>0</v>
          </cell>
          <cell r="V2442" t="str">
            <v xml:space="preserve"> </v>
          </cell>
        </row>
        <row r="2443">
          <cell r="B2443">
            <v>0</v>
          </cell>
          <cell r="C2443">
            <v>0</v>
          </cell>
          <cell r="V2443" t="str">
            <v xml:space="preserve"> </v>
          </cell>
        </row>
        <row r="2444">
          <cell r="B2444">
            <v>0</v>
          </cell>
          <cell r="C2444">
            <v>0</v>
          </cell>
          <cell r="V2444" t="str">
            <v xml:space="preserve"> </v>
          </cell>
        </row>
        <row r="2445">
          <cell r="B2445">
            <v>0</v>
          </cell>
          <cell r="C2445">
            <v>0</v>
          </cell>
          <cell r="V2445" t="str">
            <v xml:space="preserve"> </v>
          </cell>
        </row>
        <row r="2446">
          <cell r="B2446">
            <v>0</v>
          </cell>
          <cell r="C2446">
            <v>0</v>
          </cell>
          <cell r="V2446" t="str">
            <v xml:space="preserve"> </v>
          </cell>
        </row>
        <row r="2447">
          <cell r="B2447">
            <v>0</v>
          </cell>
          <cell r="C2447">
            <v>0</v>
          </cell>
          <cell r="V2447" t="str">
            <v xml:space="preserve"> </v>
          </cell>
        </row>
        <row r="2448">
          <cell r="B2448">
            <v>0</v>
          </cell>
          <cell r="C2448">
            <v>0</v>
          </cell>
          <cell r="V2448" t="str">
            <v xml:space="preserve"> </v>
          </cell>
        </row>
        <row r="2449">
          <cell r="B2449">
            <v>0</v>
          </cell>
          <cell r="C2449">
            <v>0</v>
          </cell>
          <cell r="V2449" t="str">
            <v xml:space="preserve"> </v>
          </cell>
        </row>
        <row r="2450">
          <cell r="B2450">
            <v>0</v>
          </cell>
          <cell r="C2450">
            <v>0</v>
          </cell>
          <cell r="V2450" t="str">
            <v xml:space="preserve"> </v>
          </cell>
        </row>
        <row r="2451">
          <cell r="B2451">
            <v>0</v>
          </cell>
          <cell r="C2451">
            <v>0</v>
          </cell>
          <cell r="V2451" t="str">
            <v xml:space="preserve"> </v>
          </cell>
        </row>
        <row r="2452">
          <cell r="B2452">
            <v>0</v>
          </cell>
          <cell r="C2452">
            <v>0</v>
          </cell>
          <cell r="V2452" t="str">
            <v xml:space="preserve"> </v>
          </cell>
        </row>
        <row r="2453">
          <cell r="B2453">
            <v>0</v>
          </cell>
          <cell r="C2453">
            <v>0</v>
          </cell>
          <cell r="V2453" t="str">
            <v xml:space="preserve"> </v>
          </cell>
        </row>
        <row r="2454">
          <cell r="B2454">
            <v>0</v>
          </cell>
          <cell r="C2454">
            <v>0</v>
          </cell>
          <cell r="V2454" t="str">
            <v xml:space="preserve"> </v>
          </cell>
        </row>
        <row r="2455">
          <cell r="B2455">
            <v>0</v>
          </cell>
          <cell r="C2455">
            <v>0</v>
          </cell>
          <cell r="V2455" t="str">
            <v xml:space="preserve"> </v>
          </cell>
        </row>
        <row r="2456">
          <cell r="B2456">
            <v>0</v>
          </cell>
          <cell r="C2456">
            <v>0</v>
          </cell>
          <cell r="V2456" t="str">
            <v xml:space="preserve"> </v>
          </cell>
        </row>
        <row r="2457">
          <cell r="B2457">
            <v>0</v>
          </cell>
          <cell r="C2457">
            <v>0</v>
          </cell>
          <cell r="V2457" t="str">
            <v xml:space="preserve"> </v>
          </cell>
        </row>
        <row r="2458">
          <cell r="B2458">
            <v>0</v>
          </cell>
          <cell r="C2458">
            <v>0</v>
          </cell>
          <cell r="V2458" t="str">
            <v xml:space="preserve"> </v>
          </cell>
        </row>
        <row r="2459">
          <cell r="B2459">
            <v>0</v>
          </cell>
          <cell r="C2459">
            <v>0</v>
          </cell>
          <cell r="V2459" t="str">
            <v xml:space="preserve"> </v>
          </cell>
        </row>
        <row r="2460">
          <cell r="B2460">
            <v>0</v>
          </cell>
          <cell r="C2460">
            <v>0</v>
          </cell>
          <cell r="V2460" t="str">
            <v xml:space="preserve"> </v>
          </cell>
        </row>
        <row r="2461">
          <cell r="B2461">
            <v>0</v>
          </cell>
          <cell r="C2461">
            <v>0</v>
          </cell>
          <cell r="V2461" t="str">
            <v xml:space="preserve"> </v>
          </cell>
        </row>
        <row r="2462">
          <cell r="B2462">
            <v>0</v>
          </cell>
          <cell r="C2462">
            <v>0</v>
          </cell>
          <cell r="V2462" t="str">
            <v xml:space="preserve"> </v>
          </cell>
        </row>
        <row r="2463">
          <cell r="B2463">
            <v>0</v>
          </cell>
          <cell r="C2463">
            <v>0</v>
          </cell>
          <cell r="V2463" t="str">
            <v xml:space="preserve"> </v>
          </cell>
        </row>
        <row r="2464">
          <cell r="B2464">
            <v>0</v>
          </cell>
          <cell r="C2464">
            <v>0</v>
          </cell>
          <cell r="V2464" t="str">
            <v xml:space="preserve"> </v>
          </cell>
        </row>
        <row r="2465">
          <cell r="B2465">
            <v>0</v>
          </cell>
          <cell r="C2465">
            <v>0</v>
          </cell>
          <cell r="V2465" t="str">
            <v xml:space="preserve"> </v>
          </cell>
        </row>
        <row r="2466">
          <cell r="B2466">
            <v>0</v>
          </cell>
          <cell r="C2466">
            <v>0</v>
          </cell>
          <cell r="V2466" t="str">
            <v xml:space="preserve"> </v>
          </cell>
        </row>
        <row r="2467">
          <cell r="B2467">
            <v>0</v>
          </cell>
          <cell r="C2467">
            <v>0</v>
          </cell>
          <cell r="V2467" t="str">
            <v xml:space="preserve"> </v>
          </cell>
        </row>
        <row r="2468">
          <cell r="B2468">
            <v>0</v>
          </cell>
          <cell r="C2468">
            <v>0</v>
          </cell>
          <cell r="V2468" t="str">
            <v xml:space="preserve"> </v>
          </cell>
        </row>
        <row r="2469">
          <cell r="B2469">
            <v>0</v>
          </cell>
          <cell r="C2469">
            <v>0</v>
          </cell>
          <cell r="V2469" t="str">
            <v xml:space="preserve"> </v>
          </cell>
        </row>
        <row r="2470">
          <cell r="B2470">
            <v>0</v>
          </cell>
          <cell r="C2470">
            <v>0</v>
          </cell>
          <cell r="V2470" t="str">
            <v xml:space="preserve"> </v>
          </cell>
        </row>
        <row r="2471">
          <cell r="B2471">
            <v>0</v>
          </cell>
          <cell r="C2471">
            <v>0</v>
          </cell>
          <cell r="V2471" t="str">
            <v xml:space="preserve"> </v>
          </cell>
        </row>
        <row r="2472">
          <cell r="B2472">
            <v>0</v>
          </cell>
          <cell r="C2472">
            <v>0</v>
          </cell>
          <cell r="V2472" t="str">
            <v xml:space="preserve"> </v>
          </cell>
        </row>
        <row r="2473">
          <cell r="B2473">
            <v>0</v>
          </cell>
          <cell r="C2473">
            <v>0</v>
          </cell>
          <cell r="V2473" t="str">
            <v xml:space="preserve"> </v>
          </cell>
        </row>
        <row r="2474">
          <cell r="B2474">
            <v>0</v>
          </cell>
          <cell r="C2474">
            <v>0</v>
          </cell>
          <cell r="V2474" t="str">
            <v xml:space="preserve"> </v>
          </cell>
        </row>
        <row r="2475">
          <cell r="B2475">
            <v>0</v>
          </cell>
          <cell r="C2475">
            <v>0</v>
          </cell>
          <cell r="V2475" t="str">
            <v xml:space="preserve"> </v>
          </cell>
        </row>
        <row r="2476">
          <cell r="B2476">
            <v>0</v>
          </cell>
          <cell r="C2476">
            <v>0</v>
          </cell>
          <cell r="V2476" t="str">
            <v xml:space="preserve"> </v>
          </cell>
        </row>
        <row r="2477">
          <cell r="B2477">
            <v>0</v>
          </cell>
          <cell r="C2477">
            <v>0</v>
          </cell>
          <cell r="V2477" t="str">
            <v xml:space="preserve"> </v>
          </cell>
        </row>
        <row r="2478">
          <cell r="B2478">
            <v>0</v>
          </cell>
          <cell r="C2478">
            <v>0</v>
          </cell>
          <cell r="V2478" t="str">
            <v xml:space="preserve"> </v>
          </cell>
        </row>
        <row r="2479">
          <cell r="B2479">
            <v>0</v>
          </cell>
          <cell r="C2479">
            <v>0</v>
          </cell>
          <cell r="V2479" t="str">
            <v xml:space="preserve"> </v>
          </cell>
        </row>
        <row r="2480">
          <cell r="B2480">
            <v>0</v>
          </cell>
          <cell r="C2480">
            <v>0</v>
          </cell>
          <cell r="V2480" t="str">
            <v xml:space="preserve"> </v>
          </cell>
        </row>
        <row r="2481">
          <cell r="B2481">
            <v>0</v>
          </cell>
          <cell r="C2481">
            <v>0</v>
          </cell>
          <cell r="V2481" t="str">
            <v xml:space="preserve"> </v>
          </cell>
        </row>
        <row r="2482">
          <cell r="B2482">
            <v>0</v>
          </cell>
          <cell r="C2482">
            <v>0</v>
          </cell>
          <cell r="V2482" t="str">
            <v xml:space="preserve"> </v>
          </cell>
        </row>
        <row r="2483">
          <cell r="B2483">
            <v>0</v>
          </cell>
          <cell r="C2483">
            <v>0</v>
          </cell>
          <cell r="V2483" t="str">
            <v xml:space="preserve"> </v>
          </cell>
        </row>
        <row r="2484">
          <cell r="B2484">
            <v>0</v>
          </cell>
          <cell r="C2484">
            <v>0</v>
          </cell>
          <cell r="V2484" t="str">
            <v xml:space="preserve"> </v>
          </cell>
        </row>
        <row r="2485">
          <cell r="B2485">
            <v>0</v>
          </cell>
          <cell r="C2485">
            <v>0</v>
          </cell>
          <cell r="V2485" t="str">
            <v xml:space="preserve"> </v>
          </cell>
        </row>
        <row r="2486">
          <cell r="B2486">
            <v>0</v>
          </cell>
          <cell r="C2486">
            <v>0</v>
          </cell>
          <cell r="V2486" t="str">
            <v xml:space="preserve"> </v>
          </cell>
        </row>
        <row r="2487">
          <cell r="B2487">
            <v>0</v>
          </cell>
          <cell r="C2487">
            <v>0</v>
          </cell>
          <cell r="V2487" t="str">
            <v xml:space="preserve"> </v>
          </cell>
        </row>
        <row r="2488">
          <cell r="B2488">
            <v>0</v>
          </cell>
          <cell r="C2488">
            <v>0</v>
          </cell>
          <cell r="V2488" t="str">
            <v xml:space="preserve"> </v>
          </cell>
        </row>
        <row r="2489">
          <cell r="B2489">
            <v>0</v>
          </cell>
          <cell r="C2489">
            <v>0</v>
          </cell>
          <cell r="V2489" t="str">
            <v xml:space="preserve"> </v>
          </cell>
        </row>
        <row r="2490">
          <cell r="B2490">
            <v>0</v>
          </cell>
          <cell r="C2490">
            <v>0</v>
          </cell>
          <cell r="V2490" t="str">
            <v xml:space="preserve"> </v>
          </cell>
        </row>
        <row r="2491">
          <cell r="B2491">
            <v>0</v>
          </cell>
          <cell r="C2491">
            <v>0</v>
          </cell>
          <cell r="V2491" t="str">
            <v xml:space="preserve"> </v>
          </cell>
        </row>
        <row r="2492">
          <cell r="B2492">
            <v>0</v>
          </cell>
          <cell r="C2492">
            <v>0</v>
          </cell>
          <cell r="V2492" t="str">
            <v xml:space="preserve"> </v>
          </cell>
        </row>
        <row r="2493">
          <cell r="B2493">
            <v>0</v>
          </cell>
          <cell r="C2493">
            <v>0</v>
          </cell>
          <cell r="V2493" t="str">
            <v xml:space="preserve"> </v>
          </cell>
        </row>
        <row r="2494">
          <cell r="B2494">
            <v>0</v>
          </cell>
          <cell r="C2494">
            <v>0</v>
          </cell>
          <cell r="V2494" t="str">
            <v xml:space="preserve"> </v>
          </cell>
        </row>
        <row r="2495">
          <cell r="B2495">
            <v>0</v>
          </cell>
          <cell r="C2495">
            <v>0</v>
          </cell>
          <cell r="V2495" t="str">
            <v xml:space="preserve"> </v>
          </cell>
        </row>
        <row r="2496">
          <cell r="B2496">
            <v>0</v>
          </cell>
          <cell r="C2496">
            <v>0</v>
          </cell>
          <cell r="V2496" t="str">
            <v xml:space="preserve"> </v>
          </cell>
        </row>
        <row r="2497">
          <cell r="B2497">
            <v>0</v>
          </cell>
          <cell r="C2497">
            <v>0</v>
          </cell>
          <cell r="V2497" t="str">
            <v xml:space="preserve"> </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Q875"/>
  <sheetViews>
    <sheetView showGridLines="0" tabSelected="1" topLeftCell="A6" zoomScale="85" zoomScaleNormal="85" zoomScaleSheetLayoutView="100" workbookViewId="0">
      <selection activeCell="J37" sqref="J37"/>
    </sheetView>
  </sheetViews>
  <sheetFormatPr defaultRowHeight="12.25"/>
  <cols>
    <col min="1" max="1" width="14.7109375" style="109" customWidth="1"/>
    <col min="2" max="2" width="16.5703125" style="109" customWidth="1"/>
    <col min="3" max="3" width="13" style="109" customWidth="1"/>
    <col min="4" max="4" width="13.7109375" style="109" hidden="1" customWidth="1"/>
    <col min="5" max="5" width="29.28515625" style="109" customWidth="1"/>
    <col min="6" max="6" width="34" style="109" customWidth="1"/>
    <col min="7" max="7" width="7" style="77" customWidth="1"/>
    <col min="8" max="8" width="6.42578125" style="77" customWidth="1"/>
    <col min="9" max="9" width="25.42578125" style="77" customWidth="1"/>
    <col min="10" max="10" width="26" style="77" customWidth="1"/>
    <col min="11" max="11" width="3" style="77" customWidth="1"/>
    <col min="12" max="12" width="8.85546875" style="77" customWidth="1"/>
    <col min="13" max="13" width="1.7109375" style="77" customWidth="1"/>
    <col min="14" max="14" width="10.140625" style="77" customWidth="1"/>
    <col min="15" max="15" width="10.7109375" style="77" customWidth="1"/>
    <col min="16" max="20" width="9.85546875" style="77" customWidth="1"/>
    <col min="21" max="21" width="5.28515625" style="77" customWidth="1"/>
    <col min="22" max="22" width="5.85546875" style="77" customWidth="1"/>
    <col min="23" max="23" width="4.42578125" style="77" customWidth="1"/>
    <col min="24" max="24" width="3.85546875" style="77" customWidth="1"/>
    <col min="25" max="25" width="4.42578125" style="77" customWidth="1"/>
    <col min="26" max="26" width="8.7109375" style="77" customWidth="1"/>
    <col min="27" max="28" width="7.7109375" style="77" customWidth="1"/>
    <col min="29" max="29" width="1.7109375" style="77" customWidth="1"/>
    <col min="30" max="30" width="12.28515625" style="77" hidden="1" customWidth="1"/>
    <col min="31" max="31" width="12.7109375" style="77" customWidth="1"/>
    <col min="32" max="32" width="5.85546875" style="77" customWidth="1"/>
    <col min="33" max="33" width="16.42578125" style="77" hidden="1" customWidth="1"/>
    <col min="34" max="34" width="17" style="77" hidden="1" customWidth="1"/>
    <col min="35" max="35" width="16.85546875" style="77" hidden="1" customWidth="1"/>
    <col min="36" max="36" width="16.140625" style="77" hidden="1" customWidth="1"/>
    <col min="37" max="37" width="1.42578125" style="77" customWidth="1"/>
    <col min="38" max="38" width="16.140625" style="77" hidden="1" customWidth="1"/>
    <col min="39" max="39" width="16.5703125" style="77" hidden="1" customWidth="1"/>
    <col min="40" max="40" width="7.28515625" style="77" customWidth="1"/>
    <col min="41" max="41" width="16.140625" style="77" hidden="1" customWidth="1"/>
    <col min="42" max="42" width="13.140625" style="77" hidden="1" customWidth="1"/>
    <col min="43" max="43" width="16.140625" style="77" hidden="1" customWidth="1"/>
    <col min="44" max="44" width="11.28515625" style="77" hidden="1" customWidth="1"/>
    <col min="45" max="45" width="10.28515625" style="77" customWidth="1"/>
    <col min="46" max="46" width="10.42578125" style="77" hidden="1" customWidth="1"/>
    <col min="47" max="47" width="16.140625" style="77" hidden="1" customWidth="1"/>
    <col min="48" max="48" width="10" style="77" hidden="1" customWidth="1"/>
    <col min="49" max="49" width="16.140625" style="77" hidden="1" customWidth="1"/>
    <col min="50" max="51" width="7.28515625" style="77" customWidth="1"/>
    <col min="52" max="52" width="9.140625" style="77" customWidth="1"/>
    <col min="53" max="55" width="9.140625" style="77" hidden="1" customWidth="1"/>
    <col min="56" max="56" width="1.140625" style="77" hidden="1" customWidth="1"/>
    <col min="57" max="58" width="9.140625" style="77" hidden="1" customWidth="1"/>
    <col min="59" max="62" width="1.140625" style="77" hidden="1" customWidth="1"/>
    <col min="63" max="63" width="9.140625" style="77" hidden="1" customWidth="1"/>
    <col min="64" max="64" width="14" style="77" hidden="1" customWidth="1"/>
    <col min="65" max="65" width="9.140625" style="265" hidden="1" customWidth="1"/>
    <col min="66" max="66" width="1.5703125" style="265" hidden="1" customWidth="1"/>
    <col min="67" max="67" width="9.140625" style="265" hidden="1" customWidth="1"/>
    <col min="68" max="68" width="1.5703125" style="265" hidden="1" customWidth="1"/>
    <col min="69" max="69" width="9.140625" style="265" hidden="1" customWidth="1"/>
    <col min="70" max="267" width="9.140625" style="77"/>
    <col min="268" max="268" width="5.5703125" style="77" customWidth="1"/>
    <col min="269" max="269" width="6.5703125" style="77" customWidth="1"/>
    <col min="270" max="270" width="5.85546875" style="77" customWidth="1"/>
    <col min="271" max="271" width="13.140625" style="77" customWidth="1"/>
    <col min="272" max="273" width="10.5703125" style="77" customWidth="1"/>
    <col min="274" max="274" width="11.42578125" style="77" customWidth="1"/>
    <col min="275" max="275" width="9.85546875" style="77" customWidth="1"/>
    <col min="276" max="276" width="12.5703125" style="77" customWidth="1"/>
    <col min="277" max="277" width="21.140625" style="77" customWidth="1"/>
    <col min="278" max="278" width="14.140625" style="77" customWidth="1"/>
    <col min="279" max="279" width="16.28515625" style="77" customWidth="1"/>
    <col min="280" max="280" width="4.7109375" style="77" customWidth="1"/>
    <col min="281" max="281" width="8" style="77" customWidth="1"/>
    <col min="282" max="282" width="9.5703125" style="77" customWidth="1"/>
    <col min="283" max="283" width="11.5703125" style="77" customWidth="1"/>
    <col min="284" max="285" width="9.140625" style="77"/>
    <col min="286" max="286" width="10.5703125" style="77" customWidth="1"/>
    <col min="287" max="287" width="0" style="77" hidden="1" customWidth="1"/>
    <col min="288" max="523" width="9.140625" style="77"/>
    <col min="524" max="524" width="5.5703125" style="77" customWidth="1"/>
    <col min="525" max="525" width="6.5703125" style="77" customWidth="1"/>
    <col min="526" max="526" width="5.85546875" style="77" customWidth="1"/>
    <col min="527" max="527" width="13.140625" style="77" customWidth="1"/>
    <col min="528" max="529" width="10.5703125" style="77" customWidth="1"/>
    <col min="530" max="530" width="11.42578125" style="77" customWidth="1"/>
    <col min="531" max="531" width="9.85546875" style="77" customWidth="1"/>
    <col min="532" max="532" width="12.5703125" style="77" customWidth="1"/>
    <col min="533" max="533" width="21.140625" style="77" customWidth="1"/>
    <col min="534" max="534" width="14.140625" style="77" customWidth="1"/>
    <col min="535" max="535" width="16.28515625" style="77" customWidth="1"/>
    <col min="536" max="536" width="4.7109375" style="77" customWidth="1"/>
    <col min="537" max="537" width="8" style="77" customWidth="1"/>
    <col min="538" max="538" width="9.5703125" style="77" customWidth="1"/>
    <col min="539" max="539" width="11.5703125" style="77" customWidth="1"/>
    <col min="540" max="541" width="9.140625" style="77"/>
    <col min="542" max="542" width="10.5703125" style="77" customWidth="1"/>
    <col min="543" max="543" width="0" style="77" hidden="1" customWidth="1"/>
    <col min="544" max="779" width="9.140625" style="77"/>
    <col min="780" max="780" width="5.5703125" style="77" customWidth="1"/>
    <col min="781" max="781" width="6.5703125" style="77" customWidth="1"/>
    <col min="782" max="782" width="5.85546875" style="77" customWidth="1"/>
    <col min="783" max="783" width="13.140625" style="77" customWidth="1"/>
    <col min="784" max="785" width="10.5703125" style="77" customWidth="1"/>
    <col min="786" max="786" width="11.42578125" style="77" customWidth="1"/>
    <col min="787" max="787" width="9.85546875" style="77" customWidth="1"/>
    <col min="788" max="788" width="12.5703125" style="77" customWidth="1"/>
    <col min="789" max="789" width="21.140625" style="77" customWidth="1"/>
    <col min="790" max="790" width="14.140625" style="77" customWidth="1"/>
    <col min="791" max="791" width="16.28515625" style="77" customWidth="1"/>
    <col min="792" max="792" width="4.7109375" style="77" customWidth="1"/>
    <col min="793" max="793" width="8" style="77" customWidth="1"/>
    <col min="794" max="794" width="9.5703125" style="77" customWidth="1"/>
    <col min="795" max="795" width="11.5703125" style="77" customWidth="1"/>
    <col min="796" max="797" width="9.140625" style="77"/>
    <col min="798" max="798" width="10.5703125" style="77" customWidth="1"/>
    <col min="799" max="799" width="0" style="77" hidden="1" customWidth="1"/>
    <col min="800" max="1035" width="9.140625" style="77"/>
    <col min="1036" max="1036" width="5.5703125" style="77" customWidth="1"/>
    <col min="1037" max="1037" width="6.5703125" style="77" customWidth="1"/>
    <col min="1038" max="1038" width="5.85546875" style="77" customWidth="1"/>
    <col min="1039" max="1039" width="13.140625" style="77" customWidth="1"/>
    <col min="1040" max="1041" width="10.5703125" style="77" customWidth="1"/>
    <col min="1042" max="1042" width="11.42578125" style="77" customWidth="1"/>
    <col min="1043" max="1043" width="9.85546875" style="77" customWidth="1"/>
    <col min="1044" max="1044" width="12.5703125" style="77" customWidth="1"/>
    <col min="1045" max="1045" width="21.140625" style="77" customWidth="1"/>
    <col min="1046" max="1046" width="14.140625" style="77" customWidth="1"/>
    <col min="1047" max="1047" width="16.28515625" style="77" customWidth="1"/>
    <col min="1048" max="1048" width="4.7109375" style="77" customWidth="1"/>
    <col min="1049" max="1049" width="8" style="77" customWidth="1"/>
    <col min="1050" max="1050" width="9.5703125" style="77" customWidth="1"/>
    <col min="1051" max="1051" width="11.5703125" style="77" customWidth="1"/>
    <col min="1052" max="1053" width="9.140625" style="77"/>
    <col min="1054" max="1054" width="10.5703125" style="77" customWidth="1"/>
    <col min="1055" max="1055" width="0" style="77" hidden="1" customWidth="1"/>
    <col min="1056" max="1291" width="9.140625" style="77"/>
    <col min="1292" max="1292" width="5.5703125" style="77" customWidth="1"/>
    <col min="1293" max="1293" width="6.5703125" style="77" customWidth="1"/>
    <col min="1294" max="1294" width="5.85546875" style="77" customWidth="1"/>
    <col min="1295" max="1295" width="13.140625" style="77" customWidth="1"/>
    <col min="1296" max="1297" width="10.5703125" style="77" customWidth="1"/>
    <col min="1298" max="1298" width="11.42578125" style="77" customWidth="1"/>
    <col min="1299" max="1299" width="9.85546875" style="77" customWidth="1"/>
    <col min="1300" max="1300" width="12.5703125" style="77" customWidth="1"/>
    <col min="1301" max="1301" width="21.140625" style="77" customWidth="1"/>
    <col min="1302" max="1302" width="14.140625" style="77" customWidth="1"/>
    <col min="1303" max="1303" width="16.28515625" style="77" customWidth="1"/>
    <col min="1304" max="1304" width="4.7109375" style="77" customWidth="1"/>
    <col min="1305" max="1305" width="8" style="77" customWidth="1"/>
    <col min="1306" max="1306" width="9.5703125" style="77" customWidth="1"/>
    <col min="1307" max="1307" width="11.5703125" style="77" customWidth="1"/>
    <col min="1308" max="1309" width="9.140625" style="77"/>
    <col min="1310" max="1310" width="10.5703125" style="77" customWidth="1"/>
    <col min="1311" max="1311" width="0" style="77" hidden="1" customWidth="1"/>
    <col min="1312" max="1547" width="9.140625" style="77"/>
    <col min="1548" max="1548" width="5.5703125" style="77" customWidth="1"/>
    <col min="1549" max="1549" width="6.5703125" style="77" customWidth="1"/>
    <col min="1550" max="1550" width="5.85546875" style="77" customWidth="1"/>
    <col min="1551" max="1551" width="13.140625" style="77" customWidth="1"/>
    <col min="1552" max="1553" width="10.5703125" style="77" customWidth="1"/>
    <col min="1554" max="1554" width="11.42578125" style="77" customWidth="1"/>
    <col min="1555" max="1555" width="9.85546875" style="77" customWidth="1"/>
    <col min="1556" max="1556" width="12.5703125" style="77" customWidth="1"/>
    <col min="1557" max="1557" width="21.140625" style="77" customWidth="1"/>
    <col min="1558" max="1558" width="14.140625" style="77" customWidth="1"/>
    <col min="1559" max="1559" width="16.28515625" style="77" customWidth="1"/>
    <col min="1560" max="1560" width="4.7109375" style="77" customWidth="1"/>
    <col min="1561" max="1561" width="8" style="77" customWidth="1"/>
    <col min="1562" max="1562" width="9.5703125" style="77" customWidth="1"/>
    <col min="1563" max="1563" width="11.5703125" style="77" customWidth="1"/>
    <col min="1564" max="1565" width="9.140625" style="77"/>
    <col min="1566" max="1566" width="10.5703125" style="77" customWidth="1"/>
    <col min="1567" max="1567" width="0" style="77" hidden="1" customWidth="1"/>
    <col min="1568" max="1803" width="9.140625" style="77"/>
    <col min="1804" max="1804" width="5.5703125" style="77" customWidth="1"/>
    <col min="1805" max="1805" width="6.5703125" style="77" customWidth="1"/>
    <col min="1806" max="1806" width="5.85546875" style="77" customWidth="1"/>
    <col min="1807" max="1807" width="13.140625" style="77" customWidth="1"/>
    <col min="1808" max="1809" width="10.5703125" style="77" customWidth="1"/>
    <col min="1810" max="1810" width="11.42578125" style="77" customWidth="1"/>
    <col min="1811" max="1811" width="9.85546875" style="77" customWidth="1"/>
    <col min="1812" max="1812" width="12.5703125" style="77" customWidth="1"/>
    <col min="1813" max="1813" width="21.140625" style="77" customWidth="1"/>
    <col min="1814" max="1814" width="14.140625" style="77" customWidth="1"/>
    <col min="1815" max="1815" width="16.28515625" style="77" customWidth="1"/>
    <col min="1816" max="1816" width="4.7109375" style="77" customWidth="1"/>
    <col min="1817" max="1817" width="8" style="77" customWidth="1"/>
    <col min="1818" max="1818" width="9.5703125" style="77" customWidth="1"/>
    <col min="1819" max="1819" width="11.5703125" style="77" customWidth="1"/>
    <col min="1820" max="1821" width="9.140625" style="77"/>
    <col min="1822" max="1822" width="10.5703125" style="77" customWidth="1"/>
    <col min="1823" max="1823" width="0" style="77" hidden="1" customWidth="1"/>
    <col min="1824" max="2059" width="9.140625" style="77"/>
    <col min="2060" max="2060" width="5.5703125" style="77" customWidth="1"/>
    <col min="2061" max="2061" width="6.5703125" style="77" customWidth="1"/>
    <col min="2062" max="2062" width="5.85546875" style="77" customWidth="1"/>
    <col min="2063" max="2063" width="13.140625" style="77" customWidth="1"/>
    <col min="2064" max="2065" width="10.5703125" style="77" customWidth="1"/>
    <col min="2066" max="2066" width="11.42578125" style="77" customWidth="1"/>
    <col min="2067" max="2067" width="9.85546875" style="77" customWidth="1"/>
    <col min="2068" max="2068" width="12.5703125" style="77" customWidth="1"/>
    <col min="2069" max="2069" width="21.140625" style="77" customWidth="1"/>
    <col min="2070" max="2070" width="14.140625" style="77" customWidth="1"/>
    <col min="2071" max="2071" width="16.28515625" style="77" customWidth="1"/>
    <col min="2072" max="2072" width="4.7109375" style="77" customWidth="1"/>
    <col min="2073" max="2073" width="8" style="77" customWidth="1"/>
    <col min="2074" max="2074" width="9.5703125" style="77" customWidth="1"/>
    <col min="2075" max="2075" width="11.5703125" style="77" customWidth="1"/>
    <col min="2076" max="2077" width="9.140625" style="77"/>
    <col min="2078" max="2078" width="10.5703125" style="77" customWidth="1"/>
    <col min="2079" max="2079" width="0" style="77" hidden="1" customWidth="1"/>
    <col min="2080" max="2315" width="9.140625" style="77"/>
    <col min="2316" max="2316" width="5.5703125" style="77" customWidth="1"/>
    <col min="2317" max="2317" width="6.5703125" style="77" customWidth="1"/>
    <col min="2318" max="2318" width="5.85546875" style="77" customWidth="1"/>
    <col min="2319" max="2319" width="13.140625" style="77" customWidth="1"/>
    <col min="2320" max="2321" width="10.5703125" style="77" customWidth="1"/>
    <col min="2322" max="2322" width="11.42578125" style="77" customWidth="1"/>
    <col min="2323" max="2323" width="9.85546875" style="77" customWidth="1"/>
    <col min="2324" max="2324" width="12.5703125" style="77" customWidth="1"/>
    <col min="2325" max="2325" width="21.140625" style="77" customWidth="1"/>
    <col min="2326" max="2326" width="14.140625" style="77" customWidth="1"/>
    <col min="2327" max="2327" width="16.28515625" style="77" customWidth="1"/>
    <col min="2328" max="2328" width="4.7109375" style="77" customWidth="1"/>
    <col min="2329" max="2329" width="8" style="77" customWidth="1"/>
    <col min="2330" max="2330" width="9.5703125" style="77" customWidth="1"/>
    <col min="2331" max="2331" width="11.5703125" style="77" customWidth="1"/>
    <col min="2332" max="2333" width="9.140625" style="77"/>
    <col min="2334" max="2334" width="10.5703125" style="77" customWidth="1"/>
    <col min="2335" max="2335" width="0" style="77" hidden="1" customWidth="1"/>
    <col min="2336" max="2571" width="9.140625" style="77"/>
    <col min="2572" max="2572" width="5.5703125" style="77" customWidth="1"/>
    <col min="2573" max="2573" width="6.5703125" style="77" customWidth="1"/>
    <col min="2574" max="2574" width="5.85546875" style="77" customWidth="1"/>
    <col min="2575" max="2575" width="13.140625" style="77" customWidth="1"/>
    <col min="2576" max="2577" width="10.5703125" style="77" customWidth="1"/>
    <col min="2578" max="2578" width="11.42578125" style="77" customWidth="1"/>
    <col min="2579" max="2579" width="9.85546875" style="77" customWidth="1"/>
    <col min="2580" max="2580" width="12.5703125" style="77" customWidth="1"/>
    <col min="2581" max="2581" width="21.140625" style="77" customWidth="1"/>
    <col min="2582" max="2582" width="14.140625" style="77" customWidth="1"/>
    <col min="2583" max="2583" width="16.28515625" style="77" customWidth="1"/>
    <col min="2584" max="2584" width="4.7109375" style="77" customWidth="1"/>
    <col min="2585" max="2585" width="8" style="77" customWidth="1"/>
    <col min="2586" max="2586" width="9.5703125" style="77" customWidth="1"/>
    <col min="2587" max="2587" width="11.5703125" style="77" customWidth="1"/>
    <col min="2588" max="2589" width="9.140625" style="77"/>
    <col min="2590" max="2590" width="10.5703125" style="77" customWidth="1"/>
    <col min="2591" max="2591" width="0" style="77" hidden="1" customWidth="1"/>
    <col min="2592" max="2827" width="9.140625" style="77"/>
    <col min="2828" max="2828" width="5.5703125" style="77" customWidth="1"/>
    <col min="2829" max="2829" width="6.5703125" style="77" customWidth="1"/>
    <col min="2830" max="2830" width="5.85546875" style="77" customWidth="1"/>
    <col min="2831" max="2831" width="13.140625" style="77" customWidth="1"/>
    <col min="2832" max="2833" width="10.5703125" style="77" customWidth="1"/>
    <col min="2834" max="2834" width="11.42578125" style="77" customWidth="1"/>
    <col min="2835" max="2835" width="9.85546875" style="77" customWidth="1"/>
    <col min="2836" max="2836" width="12.5703125" style="77" customWidth="1"/>
    <col min="2837" max="2837" width="21.140625" style="77" customWidth="1"/>
    <col min="2838" max="2838" width="14.140625" style="77" customWidth="1"/>
    <col min="2839" max="2839" width="16.28515625" style="77" customWidth="1"/>
    <col min="2840" max="2840" width="4.7109375" style="77" customWidth="1"/>
    <col min="2841" max="2841" width="8" style="77" customWidth="1"/>
    <col min="2842" max="2842" width="9.5703125" style="77" customWidth="1"/>
    <col min="2843" max="2843" width="11.5703125" style="77" customWidth="1"/>
    <col min="2844" max="2845" width="9.140625" style="77"/>
    <col min="2846" max="2846" width="10.5703125" style="77" customWidth="1"/>
    <col min="2847" max="2847" width="0" style="77" hidden="1" customWidth="1"/>
    <col min="2848" max="3083" width="9.140625" style="77"/>
    <col min="3084" max="3084" width="5.5703125" style="77" customWidth="1"/>
    <col min="3085" max="3085" width="6.5703125" style="77" customWidth="1"/>
    <col min="3086" max="3086" width="5.85546875" style="77" customWidth="1"/>
    <col min="3087" max="3087" width="13.140625" style="77" customWidth="1"/>
    <col min="3088" max="3089" width="10.5703125" style="77" customWidth="1"/>
    <col min="3090" max="3090" width="11.42578125" style="77" customWidth="1"/>
    <col min="3091" max="3091" width="9.85546875" style="77" customWidth="1"/>
    <col min="3092" max="3092" width="12.5703125" style="77" customWidth="1"/>
    <col min="3093" max="3093" width="21.140625" style="77" customWidth="1"/>
    <col min="3094" max="3094" width="14.140625" style="77" customWidth="1"/>
    <col min="3095" max="3095" width="16.28515625" style="77" customWidth="1"/>
    <col min="3096" max="3096" width="4.7109375" style="77" customWidth="1"/>
    <col min="3097" max="3097" width="8" style="77" customWidth="1"/>
    <col min="3098" max="3098" width="9.5703125" style="77" customWidth="1"/>
    <col min="3099" max="3099" width="11.5703125" style="77" customWidth="1"/>
    <col min="3100" max="3101" width="9.140625" style="77"/>
    <col min="3102" max="3102" width="10.5703125" style="77" customWidth="1"/>
    <col min="3103" max="3103" width="0" style="77" hidden="1" customWidth="1"/>
    <col min="3104" max="3339" width="9.140625" style="77"/>
    <col min="3340" max="3340" width="5.5703125" style="77" customWidth="1"/>
    <col min="3341" max="3341" width="6.5703125" style="77" customWidth="1"/>
    <col min="3342" max="3342" width="5.85546875" style="77" customWidth="1"/>
    <col min="3343" max="3343" width="13.140625" style="77" customWidth="1"/>
    <col min="3344" max="3345" width="10.5703125" style="77" customWidth="1"/>
    <col min="3346" max="3346" width="11.42578125" style="77" customWidth="1"/>
    <col min="3347" max="3347" width="9.85546875" style="77" customWidth="1"/>
    <col min="3348" max="3348" width="12.5703125" style="77" customWidth="1"/>
    <col min="3349" max="3349" width="21.140625" style="77" customWidth="1"/>
    <col min="3350" max="3350" width="14.140625" style="77" customWidth="1"/>
    <col min="3351" max="3351" width="16.28515625" style="77" customWidth="1"/>
    <col min="3352" max="3352" width="4.7109375" style="77" customWidth="1"/>
    <col min="3353" max="3353" width="8" style="77" customWidth="1"/>
    <col min="3354" max="3354" width="9.5703125" style="77" customWidth="1"/>
    <col min="3355" max="3355" width="11.5703125" style="77" customWidth="1"/>
    <col min="3356" max="3357" width="9.140625" style="77"/>
    <col min="3358" max="3358" width="10.5703125" style="77" customWidth="1"/>
    <col min="3359" max="3359" width="0" style="77" hidden="1" customWidth="1"/>
    <col min="3360" max="3595" width="9.140625" style="77"/>
    <col min="3596" max="3596" width="5.5703125" style="77" customWidth="1"/>
    <col min="3597" max="3597" width="6.5703125" style="77" customWidth="1"/>
    <col min="3598" max="3598" width="5.85546875" style="77" customWidth="1"/>
    <col min="3599" max="3599" width="13.140625" style="77" customWidth="1"/>
    <col min="3600" max="3601" width="10.5703125" style="77" customWidth="1"/>
    <col min="3602" max="3602" width="11.42578125" style="77" customWidth="1"/>
    <col min="3603" max="3603" width="9.85546875" style="77" customWidth="1"/>
    <col min="3604" max="3604" width="12.5703125" style="77" customWidth="1"/>
    <col min="3605" max="3605" width="21.140625" style="77" customWidth="1"/>
    <col min="3606" max="3606" width="14.140625" style="77" customWidth="1"/>
    <col min="3607" max="3607" width="16.28515625" style="77" customWidth="1"/>
    <col min="3608" max="3608" width="4.7109375" style="77" customWidth="1"/>
    <col min="3609" max="3609" width="8" style="77" customWidth="1"/>
    <col min="3610" max="3610" width="9.5703125" style="77" customWidth="1"/>
    <col min="3611" max="3611" width="11.5703125" style="77" customWidth="1"/>
    <col min="3612" max="3613" width="9.140625" style="77"/>
    <col min="3614" max="3614" width="10.5703125" style="77" customWidth="1"/>
    <col min="3615" max="3615" width="0" style="77" hidden="1" customWidth="1"/>
    <col min="3616" max="3851" width="9.140625" style="77"/>
    <col min="3852" max="3852" width="5.5703125" style="77" customWidth="1"/>
    <col min="3853" max="3853" width="6.5703125" style="77" customWidth="1"/>
    <col min="3854" max="3854" width="5.85546875" style="77" customWidth="1"/>
    <col min="3855" max="3855" width="13.140625" style="77" customWidth="1"/>
    <col min="3856" max="3857" width="10.5703125" style="77" customWidth="1"/>
    <col min="3858" max="3858" width="11.42578125" style="77" customWidth="1"/>
    <col min="3859" max="3859" width="9.85546875" style="77" customWidth="1"/>
    <col min="3860" max="3860" width="12.5703125" style="77" customWidth="1"/>
    <col min="3861" max="3861" width="21.140625" style="77" customWidth="1"/>
    <col min="3862" max="3862" width="14.140625" style="77" customWidth="1"/>
    <col min="3863" max="3863" width="16.28515625" style="77" customWidth="1"/>
    <col min="3864" max="3864" width="4.7109375" style="77" customWidth="1"/>
    <col min="3865" max="3865" width="8" style="77" customWidth="1"/>
    <col min="3866" max="3866" width="9.5703125" style="77" customWidth="1"/>
    <col min="3867" max="3867" width="11.5703125" style="77" customWidth="1"/>
    <col min="3868" max="3869" width="9.140625" style="77"/>
    <col min="3870" max="3870" width="10.5703125" style="77" customWidth="1"/>
    <col min="3871" max="3871" width="0" style="77" hidden="1" customWidth="1"/>
    <col min="3872" max="4107" width="9.140625" style="77"/>
    <col min="4108" max="4108" width="5.5703125" style="77" customWidth="1"/>
    <col min="4109" max="4109" width="6.5703125" style="77" customWidth="1"/>
    <col min="4110" max="4110" width="5.85546875" style="77" customWidth="1"/>
    <col min="4111" max="4111" width="13.140625" style="77" customWidth="1"/>
    <col min="4112" max="4113" width="10.5703125" style="77" customWidth="1"/>
    <col min="4114" max="4114" width="11.42578125" style="77" customWidth="1"/>
    <col min="4115" max="4115" width="9.85546875" style="77" customWidth="1"/>
    <col min="4116" max="4116" width="12.5703125" style="77" customWidth="1"/>
    <col min="4117" max="4117" width="21.140625" style="77" customWidth="1"/>
    <col min="4118" max="4118" width="14.140625" style="77" customWidth="1"/>
    <col min="4119" max="4119" width="16.28515625" style="77" customWidth="1"/>
    <col min="4120" max="4120" width="4.7109375" style="77" customWidth="1"/>
    <col min="4121" max="4121" width="8" style="77" customWidth="1"/>
    <col min="4122" max="4122" width="9.5703125" style="77" customWidth="1"/>
    <col min="4123" max="4123" width="11.5703125" style="77" customWidth="1"/>
    <col min="4124" max="4125" width="9.140625" style="77"/>
    <col min="4126" max="4126" width="10.5703125" style="77" customWidth="1"/>
    <col min="4127" max="4127" width="0" style="77" hidden="1" customWidth="1"/>
    <col min="4128" max="4363" width="9.140625" style="77"/>
    <col min="4364" max="4364" width="5.5703125" style="77" customWidth="1"/>
    <col min="4365" max="4365" width="6.5703125" style="77" customWidth="1"/>
    <col min="4366" max="4366" width="5.85546875" style="77" customWidth="1"/>
    <col min="4367" max="4367" width="13.140625" style="77" customWidth="1"/>
    <col min="4368" max="4369" width="10.5703125" style="77" customWidth="1"/>
    <col min="4370" max="4370" width="11.42578125" style="77" customWidth="1"/>
    <col min="4371" max="4371" width="9.85546875" style="77" customWidth="1"/>
    <col min="4372" max="4372" width="12.5703125" style="77" customWidth="1"/>
    <col min="4373" max="4373" width="21.140625" style="77" customWidth="1"/>
    <col min="4374" max="4374" width="14.140625" style="77" customWidth="1"/>
    <col min="4375" max="4375" width="16.28515625" style="77" customWidth="1"/>
    <col min="4376" max="4376" width="4.7109375" style="77" customWidth="1"/>
    <col min="4377" max="4377" width="8" style="77" customWidth="1"/>
    <col min="4378" max="4378" width="9.5703125" style="77" customWidth="1"/>
    <col min="4379" max="4379" width="11.5703125" style="77" customWidth="1"/>
    <col min="4380" max="4381" width="9.140625" style="77"/>
    <col min="4382" max="4382" width="10.5703125" style="77" customWidth="1"/>
    <col min="4383" max="4383" width="0" style="77" hidden="1" customWidth="1"/>
    <col min="4384" max="4619" width="9.140625" style="77"/>
    <col min="4620" max="4620" width="5.5703125" style="77" customWidth="1"/>
    <col min="4621" max="4621" width="6.5703125" style="77" customWidth="1"/>
    <col min="4622" max="4622" width="5.85546875" style="77" customWidth="1"/>
    <col min="4623" max="4623" width="13.140625" style="77" customWidth="1"/>
    <col min="4624" max="4625" width="10.5703125" style="77" customWidth="1"/>
    <col min="4626" max="4626" width="11.42578125" style="77" customWidth="1"/>
    <col min="4627" max="4627" width="9.85546875" style="77" customWidth="1"/>
    <col min="4628" max="4628" width="12.5703125" style="77" customWidth="1"/>
    <col min="4629" max="4629" width="21.140625" style="77" customWidth="1"/>
    <col min="4630" max="4630" width="14.140625" style="77" customWidth="1"/>
    <col min="4631" max="4631" width="16.28515625" style="77" customWidth="1"/>
    <col min="4632" max="4632" width="4.7109375" style="77" customWidth="1"/>
    <col min="4633" max="4633" width="8" style="77" customWidth="1"/>
    <col min="4634" max="4634" width="9.5703125" style="77" customWidth="1"/>
    <col min="4635" max="4635" width="11.5703125" style="77" customWidth="1"/>
    <col min="4636" max="4637" width="9.140625" style="77"/>
    <col min="4638" max="4638" width="10.5703125" style="77" customWidth="1"/>
    <col min="4639" max="4639" width="0" style="77" hidden="1" customWidth="1"/>
    <col min="4640" max="4875" width="9.140625" style="77"/>
    <col min="4876" max="4876" width="5.5703125" style="77" customWidth="1"/>
    <col min="4877" max="4877" width="6.5703125" style="77" customWidth="1"/>
    <col min="4878" max="4878" width="5.85546875" style="77" customWidth="1"/>
    <col min="4879" max="4879" width="13.140625" style="77" customWidth="1"/>
    <col min="4880" max="4881" width="10.5703125" style="77" customWidth="1"/>
    <col min="4882" max="4882" width="11.42578125" style="77" customWidth="1"/>
    <col min="4883" max="4883" width="9.85546875" style="77" customWidth="1"/>
    <col min="4884" max="4884" width="12.5703125" style="77" customWidth="1"/>
    <col min="4885" max="4885" width="21.140625" style="77" customWidth="1"/>
    <col min="4886" max="4886" width="14.140625" style="77" customWidth="1"/>
    <col min="4887" max="4887" width="16.28515625" style="77" customWidth="1"/>
    <col min="4888" max="4888" width="4.7109375" style="77" customWidth="1"/>
    <col min="4889" max="4889" width="8" style="77" customWidth="1"/>
    <col min="4890" max="4890" width="9.5703125" style="77" customWidth="1"/>
    <col min="4891" max="4891" width="11.5703125" style="77" customWidth="1"/>
    <col min="4892" max="4893" width="9.140625" style="77"/>
    <col min="4894" max="4894" width="10.5703125" style="77" customWidth="1"/>
    <col min="4895" max="4895" width="0" style="77" hidden="1" customWidth="1"/>
    <col min="4896" max="5131" width="9.140625" style="77"/>
    <col min="5132" max="5132" width="5.5703125" style="77" customWidth="1"/>
    <col min="5133" max="5133" width="6.5703125" style="77" customWidth="1"/>
    <col min="5134" max="5134" width="5.85546875" style="77" customWidth="1"/>
    <col min="5135" max="5135" width="13.140625" style="77" customWidth="1"/>
    <col min="5136" max="5137" width="10.5703125" style="77" customWidth="1"/>
    <col min="5138" max="5138" width="11.42578125" style="77" customWidth="1"/>
    <col min="5139" max="5139" width="9.85546875" style="77" customWidth="1"/>
    <col min="5140" max="5140" width="12.5703125" style="77" customWidth="1"/>
    <col min="5141" max="5141" width="21.140625" style="77" customWidth="1"/>
    <col min="5142" max="5142" width="14.140625" style="77" customWidth="1"/>
    <col min="5143" max="5143" width="16.28515625" style="77" customWidth="1"/>
    <col min="5144" max="5144" width="4.7109375" style="77" customWidth="1"/>
    <col min="5145" max="5145" width="8" style="77" customWidth="1"/>
    <col min="5146" max="5146" width="9.5703125" style="77" customWidth="1"/>
    <col min="5147" max="5147" width="11.5703125" style="77" customWidth="1"/>
    <col min="5148" max="5149" width="9.140625" style="77"/>
    <col min="5150" max="5150" width="10.5703125" style="77" customWidth="1"/>
    <col min="5151" max="5151" width="0" style="77" hidden="1" customWidth="1"/>
    <col min="5152" max="5387" width="9.140625" style="77"/>
    <col min="5388" max="5388" width="5.5703125" style="77" customWidth="1"/>
    <col min="5389" max="5389" width="6.5703125" style="77" customWidth="1"/>
    <col min="5390" max="5390" width="5.85546875" style="77" customWidth="1"/>
    <col min="5391" max="5391" width="13.140625" style="77" customWidth="1"/>
    <col min="5392" max="5393" width="10.5703125" style="77" customWidth="1"/>
    <col min="5394" max="5394" width="11.42578125" style="77" customWidth="1"/>
    <col min="5395" max="5395" width="9.85546875" style="77" customWidth="1"/>
    <col min="5396" max="5396" width="12.5703125" style="77" customWidth="1"/>
    <col min="5397" max="5397" width="21.140625" style="77" customWidth="1"/>
    <col min="5398" max="5398" width="14.140625" style="77" customWidth="1"/>
    <col min="5399" max="5399" width="16.28515625" style="77" customWidth="1"/>
    <col min="5400" max="5400" width="4.7109375" style="77" customWidth="1"/>
    <col min="5401" max="5401" width="8" style="77" customWidth="1"/>
    <col min="5402" max="5402" width="9.5703125" style="77" customWidth="1"/>
    <col min="5403" max="5403" width="11.5703125" style="77" customWidth="1"/>
    <col min="5404" max="5405" width="9.140625" style="77"/>
    <col min="5406" max="5406" width="10.5703125" style="77" customWidth="1"/>
    <col min="5407" max="5407" width="0" style="77" hidden="1" customWidth="1"/>
    <col min="5408" max="5643" width="9.140625" style="77"/>
    <col min="5644" max="5644" width="5.5703125" style="77" customWidth="1"/>
    <col min="5645" max="5645" width="6.5703125" style="77" customWidth="1"/>
    <col min="5646" max="5646" width="5.85546875" style="77" customWidth="1"/>
    <col min="5647" max="5647" width="13.140625" style="77" customWidth="1"/>
    <col min="5648" max="5649" width="10.5703125" style="77" customWidth="1"/>
    <col min="5650" max="5650" width="11.42578125" style="77" customWidth="1"/>
    <col min="5651" max="5651" width="9.85546875" style="77" customWidth="1"/>
    <col min="5652" max="5652" width="12.5703125" style="77" customWidth="1"/>
    <col min="5653" max="5653" width="21.140625" style="77" customWidth="1"/>
    <col min="5654" max="5654" width="14.140625" style="77" customWidth="1"/>
    <col min="5655" max="5655" width="16.28515625" style="77" customWidth="1"/>
    <col min="5656" max="5656" width="4.7109375" style="77" customWidth="1"/>
    <col min="5657" max="5657" width="8" style="77" customWidth="1"/>
    <col min="5658" max="5658" width="9.5703125" style="77" customWidth="1"/>
    <col min="5659" max="5659" width="11.5703125" style="77" customWidth="1"/>
    <col min="5660" max="5661" width="9.140625" style="77"/>
    <col min="5662" max="5662" width="10.5703125" style="77" customWidth="1"/>
    <col min="5663" max="5663" width="0" style="77" hidden="1" customWidth="1"/>
    <col min="5664" max="5899" width="9.140625" style="77"/>
    <col min="5900" max="5900" width="5.5703125" style="77" customWidth="1"/>
    <col min="5901" max="5901" width="6.5703125" style="77" customWidth="1"/>
    <col min="5902" max="5902" width="5.85546875" style="77" customWidth="1"/>
    <col min="5903" max="5903" width="13.140625" style="77" customWidth="1"/>
    <col min="5904" max="5905" width="10.5703125" style="77" customWidth="1"/>
    <col min="5906" max="5906" width="11.42578125" style="77" customWidth="1"/>
    <col min="5907" max="5907" width="9.85546875" style="77" customWidth="1"/>
    <col min="5908" max="5908" width="12.5703125" style="77" customWidth="1"/>
    <col min="5909" max="5909" width="21.140625" style="77" customWidth="1"/>
    <col min="5910" max="5910" width="14.140625" style="77" customWidth="1"/>
    <col min="5911" max="5911" width="16.28515625" style="77" customWidth="1"/>
    <col min="5912" max="5912" width="4.7109375" style="77" customWidth="1"/>
    <col min="5913" max="5913" width="8" style="77" customWidth="1"/>
    <col min="5914" max="5914" width="9.5703125" style="77" customWidth="1"/>
    <col min="5915" max="5915" width="11.5703125" style="77" customWidth="1"/>
    <col min="5916" max="5917" width="9.140625" style="77"/>
    <col min="5918" max="5918" width="10.5703125" style="77" customWidth="1"/>
    <col min="5919" max="5919" width="0" style="77" hidden="1" customWidth="1"/>
    <col min="5920" max="6155" width="9.140625" style="77"/>
    <col min="6156" max="6156" width="5.5703125" style="77" customWidth="1"/>
    <col min="6157" max="6157" width="6.5703125" style="77" customWidth="1"/>
    <col min="6158" max="6158" width="5.85546875" style="77" customWidth="1"/>
    <col min="6159" max="6159" width="13.140625" style="77" customWidth="1"/>
    <col min="6160" max="6161" width="10.5703125" style="77" customWidth="1"/>
    <col min="6162" max="6162" width="11.42578125" style="77" customWidth="1"/>
    <col min="6163" max="6163" width="9.85546875" style="77" customWidth="1"/>
    <col min="6164" max="6164" width="12.5703125" style="77" customWidth="1"/>
    <col min="6165" max="6165" width="21.140625" style="77" customWidth="1"/>
    <col min="6166" max="6166" width="14.140625" style="77" customWidth="1"/>
    <col min="6167" max="6167" width="16.28515625" style="77" customWidth="1"/>
    <col min="6168" max="6168" width="4.7109375" style="77" customWidth="1"/>
    <col min="6169" max="6169" width="8" style="77" customWidth="1"/>
    <col min="6170" max="6170" width="9.5703125" style="77" customWidth="1"/>
    <col min="6171" max="6171" width="11.5703125" style="77" customWidth="1"/>
    <col min="6172" max="6173" width="9.140625" style="77"/>
    <col min="6174" max="6174" width="10.5703125" style="77" customWidth="1"/>
    <col min="6175" max="6175" width="0" style="77" hidden="1" customWidth="1"/>
    <col min="6176" max="6411" width="9.140625" style="77"/>
    <col min="6412" max="6412" width="5.5703125" style="77" customWidth="1"/>
    <col min="6413" max="6413" width="6.5703125" style="77" customWidth="1"/>
    <col min="6414" max="6414" width="5.85546875" style="77" customWidth="1"/>
    <col min="6415" max="6415" width="13.140625" style="77" customWidth="1"/>
    <col min="6416" max="6417" width="10.5703125" style="77" customWidth="1"/>
    <col min="6418" max="6418" width="11.42578125" style="77" customWidth="1"/>
    <col min="6419" max="6419" width="9.85546875" style="77" customWidth="1"/>
    <col min="6420" max="6420" width="12.5703125" style="77" customWidth="1"/>
    <col min="6421" max="6421" width="21.140625" style="77" customWidth="1"/>
    <col min="6422" max="6422" width="14.140625" style="77" customWidth="1"/>
    <col min="6423" max="6423" width="16.28515625" style="77" customWidth="1"/>
    <col min="6424" max="6424" width="4.7109375" style="77" customWidth="1"/>
    <col min="6425" max="6425" width="8" style="77" customWidth="1"/>
    <col min="6426" max="6426" width="9.5703125" style="77" customWidth="1"/>
    <col min="6427" max="6427" width="11.5703125" style="77" customWidth="1"/>
    <col min="6428" max="6429" width="9.140625" style="77"/>
    <col min="6430" max="6430" width="10.5703125" style="77" customWidth="1"/>
    <col min="6431" max="6431" width="0" style="77" hidden="1" customWidth="1"/>
    <col min="6432" max="6667" width="9.140625" style="77"/>
    <col min="6668" max="6668" width="5.5703125" style="77" customWidth="1"/>
    <col min="6669" max="6669" width="6.5703125" style="77" customWidth="1"/>
    <col min="6670" max="6670" width="5.85546875" style="77" customWidth="1"/>
    <col min="6671" max="6671" width="13.140625" style="77" customWidth="1"/>
    <col min="6672" max="6673" width="10.5703125" style="77" customWidth="1"/>
    <col min="6674" max="6674" width="11.42578125" style="77" customWidth="1"/>
    <col min="6675" max="6675" width="9.85546875" style="77" customWidth="1"/>
    <col min="6676" max="6676" width="12.5703125" style="77" customWidth="1"/>
    <col min="6677" max="6677" width="21.140625" style="77" customWidth="1"/>
    <col min="6678" max="6678" width="14.140625" style="77" customWidth="1"/>
    <col min="6679" max="6679" width="16.28515625" style="77" customWidth="1"/>
    <col min="6680" max="6680" width="4.7109375" style="77" customWidth="1"/>
    <col min="6681" max="6681" width="8" style="77" customWidth="1"/>
    <col min="6682" max="6682" width="9.5703125" style="77" customWidth="1"/>
    <col min="6683" max="6683" width="11.5703125" style="77" customWidth="1"/>
    <col min="6684" max="6685" width="9.140625" style="77"/>
    <col min="6686" max="6686" width="10.5703125" style="77" customWidth="1"/>
    <col min="6687" max="6687" width="0" style="77" hidden="1" customWidth="1"/>
    <col min="6688" max="6923" width="9.140625" style="77"/>
    <col min="6924" max="6924" width="5.5703125" style="77" customWidth="1"/>
    <col min="6925" max="6925" width="6.5703125" style="77" customWidth="1"/>
    <col min="6926" max="6926" width="5.85546875" style="77" customWidth="1"/>
    <col min="6927" max="6927" width="13.140625" style="77" customWidth="1"/>
    <col min="6928" max="6929" width="10.5703125" style="77" customWidth="1"/>
    <col min="6930" max="6930" width="11.42578125" style="77" customWidth="1"/>
    <col min="6931" max="6931" width="9.85546875" style="77" customWidth="1"/>
    <col min="6932" max="6932" width="12.5703125" style="77" customWidth="1"/>
    <col min="6933" max="6933" width="21.140625" style="77" customWidth="1"/>
    <col min="6934" max="6934" width="14.140625" style="77" customWidth="1"/>
    <col min="6935" max="6935" width="16.28515625" style="77" customWidth="1"/>
    <col min="6936" max="6936" width="4.7109375" style="77" customWidth="1"/>
    <col min="6937" max="6937" width="8" style="77" customWidth="1"/>
    <col min="6938" max="6938" width="9.5703125" style="77" customWidth="1"/>
    <col min="6939" max="6939" width="11.5703125" style="77" customWidth="1"/>
    <col min="6940" max="6941" width="9.140625" style="77"/>
    <col min="6942" max="6942" width="10.5703125" style="77" customWidth="1"/>
    <col min="6943" max="6943" width="0" style="77" hidden="1" customWidth="1"/>
    <col min="6944" max="7179" width="9.140625" style="77"/>
    <col min="7180" max="7180" width="5.5703125" style="77" customWidth="1"/>
    <col min="7181" max="7181" width="6.5703125" style="77" customWidth="1"/>
    <col min="7182" max="7182" width="5.85546875" style="77" customWidth="1"/>
    <col min="7183" max="7183" width="13.140625" style="77" customWidth="1"/>
    <col min="7184" max="7185" width="10.5703125" style="77" customWidth="1"/>
    <col min="7186" max="7186" width="11.42578125" style="77" customWidth="1"/>
    <col min="7187" max="7187" width="9.85546875" style="77" customWidth="1"/>
    <col min="7188" max="7188" width="12.5703125" style="77" customWidth="1"/>
    <col min="7189" max="7189" width="21.140625" style="77" customWidth="1"/>
    <col min="7190" max="7190" width="14.140625" style="77" customWidth="1"/>
    <col min="7191" max="7191" width="16.28515625" style="77" customWidth="1"/>
    <col min="7192" max="7192" width="4.7109375" style="77" customWidth="1"/>
    <col min="7193" max="7193" width="8" style="77" customWidth="1"/>
    <col min="7194" max="7194" width="9.5703125" style="77" customWidth="1"/>
    <col min="7195" max="7195" width="11.5703125" style="77" customWidth="1"/>
    <col min="7196" max="7197" width="9.140625" style="77"/>
    <col min="7198" max="7198" width="10.5703125" style="77" customWidth="1"/>
    <col min="7199" max="7199" width="0" style="77" hidden="1" customWidth="1"/>
    <col min="7200" max="7435" width="9.140625" style="77"/>
    <col min="7436" max="7436" width="5.5703125" style="77" customWidth="1"/>
    <col min="7437" max="7437" width="6.5703125" style="77" customWidth="1"/>
    <col min="7438" max="7438" width="5.85546875" style="77" customWidth="1"/>
    <col min="7439" max="7439" width="13.140625" style="77" customWidth="1"/>
    <col min="7440" max="7441" width="10.5703125" style="77" customWidth="1"/>
    <col min="7442" max="7442" width="11.42578125" style="77" customWidth="1"/>
    <col min="7443" max="7443" width="9.85546875" style="77" customWidth="1"/>
    <col min="7444" max="7444" width="12.5703125" style="77" customWidth="1"/>
    <col min="7445" max="7445" width="21.140625" style="77" customWidth="1"/>
    <col min="7446" max="7446" width="14.140625" style="77" customWidth="1"/>
    <col min="7447" max="7447" width="16.28515625" style="77" customWidth="1"/>
    <col min="7448" max="7448" width="4.7109375" style="77" customWidth="1"/>
    <col min="7449" max="7449" width="8" style="77" customWidth="1"/>
    <col min="7450" max="7450" width="9.5703125" style="77" customWidth="1"/>
    <col min="7451" max="7451" width="11.5703125" style="77" customWidth="1"/>
    <col min="7452" max="7453" width="9.140625" style="77"/>
    <col min="7454" max="7454" width="10.5703125" style="77" customWidth="1"/>
    <col min="7455" max="7455" width="0" style="77" hidden="1" customWidth="1"/>
    <col min="7456" max="7691" width="9.140625" style="77"/>
    <col min="7692" max="7692" width="5.5703125" style="77" customWidth="1"/>
    <col min="7693" max="7693" width="6.5703125" style="77" customWidth="1"/>
    <col min="7694" max="7694" width="5.85546875" style="77" customWidth="1"/>
    <col min="7695" max="7695" width="13.140625" style="77" customWidth="1"/>
    <col min="7696" max="7697" width="10.5703125" style="77" customWidth="1"/>
    <col min="7698" max="7698" width="11.42578125" style="77" customWidth="1"/>
    <col min="7699" max="7699" width="9.85546875" style="77" customWidth="1"/>
    <col min="7700" max="7700" width="12.5703125" style="77" customWidth="1"/>
    <col min="7701" max="7701" width="21.140625" style="77" customWidth="1"/>
    <col min="7702" max="7702" width="14.140625" style="77" customWidth="1"/>
    <col min="7703" max="7703" width="16.28515625" style="77" customWidth="1"/>
    <col min="7704" max="7704" width="4.7109375" style="77" customWidth="1"/>
    <col min="7705" max="7705" width="8" style="77" customWidth="1"/>
    <col min="7706" max="7706" width="9.5703125" style="77" customWidth="1"/>
    <col min="7707" max="7707" width="11.5703125" style="77" customWidth="1"/>
    <col min="7708" max="7709" width="9.140625" style="77"/>
    <col min="7710" max="7710" width="10.5703125" style="77" customWidth="1"/>
    <col min="7711" max="7711" width="0" style="77" hidden="1" customWidth="1"/>
    <col min="7712" max="7947" width="9.140625" style="77"/>
    <col min="7948" max="7948" width="5.5703125" style="77" customWidth="1"/>
    <col min="7949" max="7949" width="6.5703125" style="77" customWidth="1"/>
    <col min="7950" max="7950" width="5.85546875" style="77" customWidth="1"/>
    <col min="7951" max="7951" width="13.140625" style="77" customWidth="1"/>
    <col min="7952" max="7953" width="10.5703125" style="77" customWidth="1"/>
    <col min="7954" max="7954" width="11.42578125" style="77" customWidth="1"/>
    <col min="7955" max="7955" width="9.85546875" style="77" customWidth="1"/>
    <col min="7956" max="7956" width="12.5703125" style="77" customWidth="1"/>
    <col min="7957" max="7957" width="21.140625" style="77" customWidth="1"/>
    <col min="7958" max="7958" width="14.140625" style="77" customWidth="1"/>
    <col min="7959" max="7959" width="16.28515625" style="77" customWidth="1"/>
    <col min="7960" max="7960" width="4.7109375" style="77" customWidth="1"/>
    <col min="7961" max="7961" width="8" style="77" customWidth="1"/>
    <col min="7962" max="7962" width="9.5703125" style="77" customWidth="1"/>
    <col min="7963" max="7963" width="11.5703125" style="77" customWidth="1"/>
    <col min="7964" max="7965" width="9.140625" style="77"/>
    <col min="7966" max="7966" width="10.5703125" style="77" customWidth="1"/>
    <col min="7967" max="7967" width="0" style="77" hidden="1" customWidth="1"/>
    <col min="7968" max="8203" width="9.140625" style="77"/>
    <col min="8204" max="8204" width="5.5703125" style="77" customWidth="1"/>
    <col min="8205" max="8205" width="6.5703125" style="77" customWidth="1"/>
    <col min="8206" max="8206" width="5.85546875" style="77" customWidth="1"/>
    <col min="8207" max="8207" width="13.140625" style="77" customWidth="1"/>
    <col min="8208" max="8209" width="10.5703125" style="77" customWidth="1"/>
    <col min="8210" max="8210" width="11.42578125" style="77" customWidth="1"/>
    <col min="8211" max="8211" width="9.85546875" style="77" customWidth="1"/>
    <col min="8212" max="8212" width="12.5703125" style="77" customWidth="1"/>
    <col min="8213" max="8213" width="21.140625" style="77" customWidth="1"/>
    <col min="8214" max="8214" width="14.140625" style="77" customWidth="1"/>
    <col min="8215" max="8215" width="16.28515625" style="77" customWidth="1"/>
    <col min="8216" max="8216" width="4.7109375" style="77" customWidth="1"/>
    <col min="8217" max="8217" width="8" style="77" customWidth="1"/>
    <col min="8218" max="8218" width="9.5703125" style="77" customWidth="1"/>
    <col min="8219" max="8219" width="11.5703125" style="77" customWidth="1"/>
    <col min="8220" max="8221" width="9.140625" style="77"/>
    <col min="8222" max="8222" width="10.5703125" style="77" customWidth="1"/>
    <col min="8223" max="8223" width="0" style="77" hidden="1" customWidth="1"/>
    <col min="8224" max="8459" width="9.140625" style="77"/>
    <col min="8460" max="8460" width="5.5703125" style="77" customWidth="1"/>
    <col min="8461" max="8461" width="6.5703125" style="77" customWidth="1"/>
    <col min="8462" max="8462" width="5.85546875" style="77" customWidth="1"/>
    <col min="8463" max="8463" width="13.140625" style="77" customWidth="1"/>
    <col min="8464" max="8465" width="10.5703125" style="77" customWidth="1"/>
    <col min="8466" max="8466" width="11.42578125" style="77" customWidth="1"/>
    <col min="8467" max="8467" width="9.85546875" style="77" customWidth="1"/>
    <col min="8468" max="8468" width="12.5703125" style="77" customWidth="1"/>
    <col min="8469" max="8469" width="21.140625" style="77" customWidth="1"/>
    <col min="8470" max="8470" width="14.140625" style="77" customWidth="1"/>
    <col min="8471" max="8471" width="16.28515625" style="77" customWidth="1"/>
    <col min="8472" max="8472" width="4.7109375" style="77" customWidth="1"/>
    <col min="8473" max="8473" width="8" style="77" customWidth="1"/>
    <col min="8474" max="8474" width="9.5703125" style="77" customWidth="1"/>
    <col min="8475" max="8475" width="11.5703125" style="77" customWidth="1"/>
    <col min="8476" max="8477" width="9.140625" style="77"/>
    <col min="8478" max="8478" width="10.5703125" style="77" customWidth="1"/>
    <col min="8479" max="8479" width="0" style="77" hidden="1" customWidth="1"/>
    <col min="8480" max="8715" width="9.140625" style="77"/>
    <col min="8716" max="8716" width="5.5703125" style="77" customWidth="1"/>
    <col min="8717" max="8717" width="6.5703125" style="77" customWidth="1"/>
    <col min="8718" max="8718" width="5.85546875" style="77" customWidth="1"/>
    <col min="8719" max="8719" width="13.140625" style="77" customWidth="1"/>
    <col min="8720" max="8721" width="10.5703125" style="77" customWidth="1"/>
    <col min="8722" max="8722" width="11.42578125" style="77" customWidth="1"/>
    <col min="8723" max="8723" width="9.85546875" style="77" customWidth="1"/>
    <col min="8724" max="8724" width="12.5703125" style="77" customWidth="1"/>
    <col min="8725" max="8725" width="21.140625" style="77" customWidth="1"/>
    <col min="8726" max="8726" width="14.140625" style="77" customWidth="1"/>
    <col min="8727" max="8727" width="16.28515625" style="77" customWidth="1"/>
    <col min="8728" max="8728" width="4.7109375" style="77" customWidth="1"/>
    <col min="8729" max="8729" width="8" style="77" customWidth="1"/>
    <col min="8730" max="8730" width="9.5703125" style="77" customWidth="1"/>
    <col min="8731" max="8731" width="11.5703125" style="77" customWidth="1"/>
    <col min="8732" max="8733" width="9.140625" style="77"/>
    <col min="8734" max="8734" width="10.5703125" style="77" customWidth="1"/>
    <col min="8735" max="8735" width="0" style="77" hidden="1" customWidth="1"/>
    <col min="8736" max="8971" width="9.140625" style="77"/>
    <col min="8972" max="8972" width="5.5703125" style="77" customWidth="1"/>
    <col min="8973" max="8973" width="6.5703125" style="77" customWidth="1"/>
    <col min="8974" max="8974" width="5.85546875" style="77" customWidth="1"/>
    <col min="8975" max="8975" width="13.140625" style="77" customWidth="1"/>
    <col min="8976" max="8977" width="10.5703125" style="77" customWidth="1"/>
    <col min="8978" max="8978" width="11.42578125" style="77" customWidth="1"/>
    <col min="8979" max="8979" width="9.85546875" style="77" customWidth="1"/>
    <col min="8980" max="8980" width="12.5703125" style="77" customWidth="1"/>
    <col min="8981" max="8981" width="21.140625" style="77" customWidth="1"/>
    <col min="8982" max="8982" width="14.140625" style="77" customWidth="1"/>
    <col min="8983" max="8983" width="16.28515625" style="77" customWidth="1"/>
    <col min="8984" max="8984" width="4.7109375" style="77" customWidth="1"/>
    <col min="8985" max="8985" width="8" style="77" customWidth="1"/>
    <col min="8986" max="8986" width="9.5703125" style="77" customWidth="1"/>
    <col min="8987" max="8987" width="11.5703125" style="77" customWidth="1"/>
    <col min="8988" max="8989" width="9.140625" style="77"/>
    <col min="8990" max="8990" width="10.5703125" style="77" customWidth="1"/>
    <col min="8991" max="8991" width="0" style="77" hidden="1" customWidth="1"/>
    <col min="8992" max="9227" width="9.140625" style="77"/>
    <col min="9228" max="9228" width="5.5703125" style="77" customWidth="1"/>
    <col min="9229" max="9229" width="6.5703125" style="77" customWidth="1"/>
    <col min="9230" max="9230" width="5.85546875" style="77" customWidth="1"/>
    <col min="9231" max="9231" width="13.140625" style="77" customWidth="1"/>
    <col min="9232" max="9233" width="10.5703125" style="77" customWidth="1"/>
    <col min="9234" max="9234" width="11.42578125" style="77" customWidth="1"/>
    <col min="9235" max="9235" width="9.85546875" style="77" customWidth="1"/>
    <col min="9236" max="9236" width="12.5703125" style="77" customWidth="1"/>
    <col min="9237" max="9237" width="21.140625" style="77" customWidth="1"/>
    <col min="9238" max="9238" width="14.140625" style="77" customWidth="1"/>
    <col min="9239" max="9239" width="16.28515625" style="77" customWidth="1"/>
    <col min="9240" max="9240" width="4.7109375" style="77" customWidth="1"/>
    <col min="9241" max="9241" width="8" style="77" customWidth="1"/>
    <col min="9242" max="9242" width="9.5703125" style="77" customWidth="1"/>
    <col min="9243" max="9243" width="11.5703125" style="77" customWidth="1"/>
    <col min="9244" max="9245" width="9.140625" style="77"/>
    <col min="9246" max="9246" width="10.5703125" style="77" customWidth="1"/>
    <col min="9247" max="9247" width="0" style="77" hidden="1" customWidth="1"/>
    <col min="9248" max="9483" width="9.140625" style="77"/>
    <col min="9484" max="9484" width="5.5703125" style="77" customWidth="1"/>
    <col min="9485" max="9485" width="6.5703125" style="77" customWidth="1"/>
    <col min="9486" max="9486" width="5.85546875" style="77" customWidth="1"/>
    <col min="9487" max="9487" width="13.140625" style="77" customWidth="1"/>
    <col min="9488" max="9489" width="10.5703125" style="77" customWidth="1"/>
    <col min="9490" max="9490" width="11.42578125" style="77" customWidth="1"/>
    <col min="9491" max="9491" width="9.85546875" style="77" customWidth="1"/>
    <col min="9492" max="9492" width="12.5703125" style="77" customWidth="1"/>
    <col min="9493" max="9493" width="21.140625" style="77" customWidth="1"/>
    <col min="9494" max="9494" width="14.140625" style="77" customWidth="1"/>
    <col min="9495" max="9495" width="16.28515625" style="77" customWidth="1"/>
    <col min="9496" max="9496" width="4.7109375" style="77" customWidth="1"/>
    <col min="9497" max="9497" width="8" style="77" customWidth="1"/>
    <col min="9498" max="9498" width="9.5703125" style="77" customWidth="1"/>
    <col min="9499" max="9499" width="11.5703125" style="77" customWidth="1"/>
    <col min="9500" max="9501" width="9.140625" style="77"/>
    <col min="9502" max="9502" width="10.5703125" style="77" customWidth="1"/>
    <col min="9503" max="9503" width="0" style="77" hidden="1" customWidth="1"/>
    <col min="9504" max="9739" width="9.140625" style="77"/>
    <col min="9740" max="9740" width="5.5703125" style="77" customWidth="1"/>
    <col min="9741" max="9741" width="6.5703125" style="77" customWidth="1"/>
    <col min="9742" max="9742" width="5.85546875" style="77" customWidth="1"/>
    <col min="9743" max="9743" width="13.140625" style="77" customWidth="1"/>
    <col min="9744" max="9745" width="10.5703125" style="77" customWidth="1"/>
    <col min="9746" max="9746" width="11.42578125" style="77" customWidth="1"/>
    <col min="9747" max="9747" width="9.85546875" style="77" customWidth="1"/>
    <col min="9748" max="9748" width="12.5703125" style="77" customWidth="1"/>
    <col min="9749" max="9749" width="21.140625" style="77" customWidth="1"/>
    <col min="9750" max="9750" width="14.140625" style="77" customWidth="1"/>
    <col min="9751" max="9751" width="16.28515625" style="77" customWidth="1"/>
    <col min="9752" max="9752" width="4.7109375" style="77" customWidth="1"/>
    <col min="9753" max="9753" width="8" style="77" customWidth="1"/>
    <col min="9754" max="9754" width="9.5703125" style="77" customWidth="1"/>
    <col min="9755" max="9755" width="11.5703125" style="77" customWidth="1"/>
    <col min="9756" max="9757" width="9.140625" style="77"/>
    <col min="9758" max="9758" width="10.5703125" style="77" customWidth="1"/>
    <col min="9759" max="9759" width="0" style="77" hidden="1" customWidth="1"/>
    <col min="9760" max="9995" width="9.140625" style="77"/>
    <col min="9996" max="9996" width="5.5703125" style="77" customWidth="1"/>
    <col min="9997" max="9997" width="6.5703125" style="77" customWidth="1"/>
    <col min="9998" max="9998" width="5.85546875" style="77" customWidth="1"/>
    <col min="9999" max="9999" width="13.140625" style="77" customWidth="1"/>
    <col min="10000" max="10001" width="10.5703125" style="77" customWidth="1"/>
    <col min="10002" max="10002" width="11.42578125" style="77" customWidth="1"/>
    <col min="10003" max="10003" width="9.85546875" style="77" customWidth="1"/>
    <col min="10004" max="10004" width="12.5703125" style="77" customWidth="1"/>
    <col min="10005" max="10005" width="21.140625" style="77" customWidth="1"/>
    <col min="10006" max="10006" width="14.140625" style="77" customWidth="1"/>
    <col min="10007" max="10007" width="16.28515625" style="77" customWidth="1"/>
    <col min="10008" max="10008" width="4.7109375" style="77" customWidth="1"/>
    <col min="10009" max="10009" width="8" style="77" customWidth="1"/>
    <col min="10010" max="10010" width="9.5703125" style="77" customWidth="1"/>
    <col min="10011" max="10011" width="11.5703125" style="77" customWidth="1"/>
    <col min="10012" max="10013" width="9.140625" style="77"/>
    <col min="10014" max="10014" width="10.5703125" style="77" customWidth="1"/>
    <col min="10015" max="10015" width="0" style="77" hidden="1" customWidth="1"/>
    <col min="10016" max="10251" width="9.140625" style="77"/>
    <col min="10252" max="10252" width="5.5703125" style="77" customWidth="1"/>
    <col min="10253" max="10253" width="6.5703125" style="77" customWidth="1"/>
    <col min="10254" max="10254" width="5.85546875" style="77" customWidth="1"/>
    <col min="10255" max="10255" width="13.140625" style="77" customWidth="1"/>
    <col min="10256" max="10257" width="10.5703125" style="77" customWidth="1"/>
    <col min="10258" max="10258" width="11.42578125" style="77" customWidth="1"/>
    <col min="10259" max="10259" width="9.85546875" style="77" customWidth="1"/>
    <col min="10260" max="10260" width="12.5703125" style="77" customWidth="1"/>
    <col min="10261" max="10261" width="21.140625" style="77" customWidth="1"/>
    <col min="10262" max="10262" width="14.140625" style="77" customWidth="1"/>
    <col min="10263" max="10263" width="16.28515625" style="77" customWidth="1"/>
    <col min="10264" max="10264" width="4.7109375" style="77" customWidth="1"/>
    <col min="10265" max="10265" width="8" style="77" customWidth="1"/>
    <col min="10266" max="10266" width="9.5703125" style="77" customWidth="1"/>
    <col min="10267" max="10267" width="11.5703125" style="77" customWidth="1"/>
    <col min="10268" max="10269" width="9.140625" style="77"/>
    <col min="10270" max="10270" width="10.5703125" style="77" customWidth="1"/>
    <col min="10271" max="10271" width="0" style="77" hidden="1" customWidth="1"/>
    <col min="10272" max="10507" width="9.140625" style="77"/>
    <col min="10508" max="10508" width="5.5703125" style="77" customWidth="1"/>
    <col min="10509" max="10509" width="6.5703125" style="77" customWidth="1"/>
    <col min="10510" max="10510" width="5.85546875" style="77" customWidth="1"/>
    <col min="10511" max="10511" width="13.140625" style="77" customWidth="1"/>
    <col min="10512" max="10513" width="10.5703125" style="77" customWidth="1"/>
    <col min="10514" max="10514" width="11.42578125" style="77" customWidth="1"/>
    <col min="10515" max="10515" width="9.85546875" style="77" customWidth="1"/>
    <col min="10516" max="10516" width="12.5703125" style="77" customWidth="1"/>
    <col min="10517" max="10517" width="21.140625" style="77" customWidth="1"/>
    <col min="10518" max="10518" width="14.140625" style="77" customWidth="1"/>
    <col min="10519" max="10519" width="16.28515625" style="77" customWidth="1"/>
    <col min="10520" max="10520" width="4.7109375" style="77" customWidth="1"/>
    <col min="10521" max="10521" width="8" style="77" customWidth="1"/>
    <col min="10522" max="10522" width="9.5703125" style="77" customWidth="1"/>
    <col min="10523" max="10523" width="11.5703125" style="77" customWidth="1"/>
    <col min="10524" max="10525" width="9.140625" style="77"/>
    <col min="10526" max="10526" width="10.5703125" style="77" customWidth="1"/>
    <col min="10527" max="10527" width="0" style="77" hidden="1" customWidth="1"/>
    <col min="10528" max="10763" width="9.140625" style="77"/>
    <col min="10764" max="10764" width="5.5703125" style="77" customWidth="1"/>
    <col min="10765" max="10765" width="6.5703125" style="77" customWidth="1"/>
    <col min="10766" max="10766" width="5.85546875" style="77" customWidth="1"/>
    <col min="10767" max="10767" width="13.140625" style="77" customWidth="1"/>
    <col min="10768" max="10769" width="10.5703125" style="77" customWidth="1"/>
    <col min="10770" max="10770" width="11.42578125" style="77" customWidth="1"/>
    <col min="10771" max="10771" width="9.85546875" style="77" customWidth="1"/>
    <col min="10772" max="10772" width="12.5703125" style="77" customWidth="1"/>
    <col min="10773" max="10773" width="21.140625" style="77" customWidth="1"/>
    <col min="10774" max="10774" width="14.140625" style="77" customWidth="1"/>
    <col min="10775" max="10775" width="16.28515625" style="77" customWidth="1"/>
    <col min="10776" max="10776" width="4.7109375" style="77" customWidth="1"/>
    <col min="10777" max="10777" width="8" style="77" customWidth="1"/>
    <col min="10778" max="10778" width="9.5703125" style="77" customWidth="1"/>
    <col min="10779" max="10779" width="11.5703125" style="77" customWidth="1"/>
    <col min="10780" max="10781" width="9.140625" style="77"/>
    <col min="10782" max="10782" width="10.5703125" style="77" customWidth="1"/>
    <col min="10783" max="10783" width="0" style="77" hidden="1" customWidth="1"/>
    <col min="10784" max="11019" width="9.140625" style="77"/>
    <col min="11020" max="11020" width="5.5703125" style="77" customWidth="1"/>
    <col min="11021" max="11021" width="6.5703125" style="77" customWidth="1"/>
    <col min="11022" max="11022" width="5.85546875" style="77" customWidth="1"/>
    <col min="11023" max="11023" width="13.140625" style="77" customWidth="1"/>
    <col min="11024" max="11025" width="10.5703125" style="77" customWidth="1"/>
    <col min="11026" max="11026" width="11.42578125" style="77" customWidth="1"/>
    <col min="11027" max="11027" width="9.85546875" style="77" customWidth="1"/>
    <col min="11028" max="11028" width="12.5703125" style="77" customWidth="1"/>
    <col min="11029" max="11029" width="21.140625" style="77" customWidth="1"/>
    <col min="11030" max="11030" width="14.140625" style="77" customWidth="1"/>
    <col min="11031" max="11031" width="16.28515625" style="77" customWidth="1"/>
    <col min="11032" max="11032" width="4.7109375" style="77" customWidth="1"/>
    <col min="11033" max="11033" width="8" style="77" customWidth="1"/>
    <col min="11034" max="11034" width="9.5703125" style="77" customWidth="1"/>
    <col min="11035" max="11035" width="11.5703125" style="77" customWidth="1"/>
    <col min="11036" max="11037" width="9.140625" style="77"/>
    <col min="11038" max="11038" width="10.5703125" style="77" customWidth="1"/>
    <col min="11039" max="11039" width="0" style="77" hidden="1" customWidth="1"/>
    <col min="11040" max="11275" width="9.140625" style="77"/>
    <col min="11276" max="11276" width="5.5703125" style="77" customWidth="1"/>
    <col min="11277" max="11277" width="6.5703125" style="77" customWidth="1"/>
    <col min="11278" max="11278" width="5.85546875" style="77" customWidth="1"/>
    <col min="11279" max="11279" width="13.140625" style="77" customWidth="1"/>
    <col min="11280" max="11281" width="10.5703125" style="77" customWidth="1"/>
    <col min="11282" max="11282" width="11.42578125" style="77" customWidth="1"/>
    <col min="11283" max="11283" width="9.85546875" style="77" customWidth="1"/>
    <col min="11284" max="11284" width="12.5703125" style="77" customWidth="1"/>
    <col min="11285" max="11285" width="21.140625" style="77" customWidth="1"/>
    <col min="11286" max="11286" width="14.140625" style="77" customWidth="1"/>
    <col min="11287" max="11287" width="16.28515625" style="77" customWidth="1"/>
    <col min="11288" max="11288" width="4.7109375" style="77" customWidth="1"/>
    <col min="11289" max="11289" width="8" style="77" customWidth="1"/>
    <col min="11290" max="11290" width="9.5703125" style="77" customWidth="1"/>
    <col min="11291" max="11291" width="11.5703125" style="77" customWidth="1"/>
    <col min="11292" max="11293" width="9.140625" style="77"/>
    <col min="11294" max="11294" width="10.5703125" style="77" customWidth="1"/>
    <col min="11295" max="11295" width="0" style="77" hidden="1" customWidth="1"/>
    <col min="11296" max="11531" width="9.140625" style="77"/>
    <col min="11532" max="11532" width="5.5703125" style="77" customWidth="1"/>
    <col min="11533" max="11533" width="6.5703125" style="77" customWidth="1"/>
    <col min="11534" max="11534" width="5.85546875" style="77" customWidth="1"/>
    <col min="11535" max="11535" width="13.140625" style="77" customWidth="1"/>
    <col min="11536" max="11537" width="10.5703125" style="77" customWidth="1"/>
    <col min="11538" max="11538" width="11.42578125" style="77" customWidth="1"/>
    <col min="11539" max="11539" width="9.85546875" style="77" customWidth="1"/>
    <col min="11540" max="11540" width="12.5703125" style="77" customWidth="1"/>
    <col min="11541" max="11541" width="21.140625" style="77" customWidth="1"/>
    <col min="11542" max="11542" width="14.140625" style="77" customWidth="1"/>
    <col min="11543" max="11543" width="16.28515625" style="77" customWidth="1"/>
    <col min="11544" max="11544" width="4.7109375" style="77" customWidth="1"/>
    <col min="11545" max="11545" width="8" style="77" customWidth="1"/>
    <col min="11546" max="11546" width="9.5703125" style="77" customWidth="1"/>
    <col min="11547" max="11547" width="11.5703125" style="77" customWidth="1"/>
    <col min="11548" max="11549" width="9.140625" style="77"/>
    <col min="11550" max="11550" width="10.5703125" style="77" customWidth="1"/>
    <col min="11551" max="11551" width="0" style="77" hidden="1" customWidth="1"/>
    <col min="11552" max="11787" width="9.140625" style="77"/>
    <col min="11788" max="11788" width="5.5703125" style="77" customWidth="1"/>
    <col min="11789" max="11789" width="6.5703125" style="77" customWidth="1"/>
    <col min="11790" max="11790" width="5.85546875" style="77" customWidth="1"/>
    <col min="11791" max="11791" width="13.140625" style="77" customWidth="1"/>
    <col min="11792" max="11793" width="10.5703125" style="77" customWidth="1"/>
    <col min="11794" max="11794" width="11.42578125" style="77" customWidth="1"/>
    <col min="11795" max="11795" width="9.85546875" style="77" customWidth="1"/>
    <col min="11796" max="11796" width="12.5703125" style="77" customWidth="1"/>
    <col min="11797" max="11797" width="21.140625" style="77" customWidth="1"/>
    <col min="11798" max="11798" width="14.140625" style="77" customWidth="1"/>
    <col min="11799" max="11799" width="16.28515625" style="77" customWidth="1"/>
    <col min="11800" max="11800" width="4.7109375" style="77" customWidth="1"/>
    <col min="11801" max="11801" width="8" style="77" customWidth="1"/>
    <col min="11802" max="11802" width="9.5703125" style="77" customWidth="1"/>
    <col min="11803" max="11803" width="11.5703125" style="77" customWidth="1"/>
    <col min="11804" max="11805" width="9.140625" style="77"/>
    <col min="11806" max="11806" width="10.5703125" style="77" customWidth="1"/>
    <col min="11807" max="11807" width="0" style="77" hidden="1" customWidth="1"/>
    <col min="11808" max="12043" width="9.140625" style="77"/>
    <col min="12044" max="12044" width="5.5703125" style="77" customWidth="1"/>
    <col min="12045" max="12045" width="6.5703125" style="77" customWidth="1"/>
    <col min="12046" max="12046" width="5.85546875" style="77" customWidth="1"/>
    <col min="12047" max="12047" width="13.140625" style="77" customWidth="1"/>
    <col min="12048" max="12049" width="10.5703125" style="77" customWidth="1"/>
    <col min="12050" max="12050" width="11.42578125" style="77" customWidth="1"/>
    <col min="12051" max="12051" width="9.85546875" style="77" customWidth="1"/>
    <col min="12052" max="12052" width="12.5703125" style="77" customWidth="1"/>
    <col min="12053" max="12053" width="21.140625" style="77" customWidth="1"/>
    <col min="12054" max="12054" width="14.140625" style="77" customWidth="1"/>
    <col min="12055" max="12055" width="16.28515625" style="77" customWidth="1"/>
    <col min="12056" max="12056" width="4.7109375" style="77" customWidth="1"/>
    <col min="12057" max="12057" width="8" style="77" customWidth="1"/>
    <col min="12058" max="12058" width="9.5703125" style="77" customWidth="1"/>
    <col min="12059" max="12059" width="11.5703125" style="77" customWidth="1"/>
    <col min="12060" max="12061" width="9.140625" style="77"/>
    <col min="12062" max="12062" width="10.5703125" style="77" customWidth="1"/>
    <col min="12063" max="12063" width="0" style="77" hidden="1" customWidth="1"/>
    <col min="12064" max="12299" width="9.140625" style="77"/>
    <col min="12300" max="12300" width="5.5703125" style="77" customWidth="1"/>
    <col min="12301" max="12301" width="6.5703125" style="77" customWidth="1"/>
    <col min="12302" max="12302" width="5.85546875" style="77" customWidth="1"/>
    <col min="12303" max="12303" width="13.140625" style="77" customWidth="1"/>
    <col min="12304" max="12305" width="10.5703125" style="77" customWidth="1"/>
    <col min="12306" max="12306" width="11.42578125" style="77" customWidth="1"/>
    <col min="12307" max="12307" width="9.85546875" style="77" customWidth="1"/>
    <col min="12308" max="12308" width="12.5703125" style="77" customWidth="1"/>
    <col min="12309" max="12309" width="21.140625" style="77" customWidth="1"/>
    <col min="12310" max="12310" width="14.140625" style="77" customWidth="1"/>
    <col min="12311" max="12311" width="16.28515625" style="77" customWidth="1"/>
    <col min="12312" max="12312" width="4.7109375" style="77" customWidth="1"/>
    <col min="12313" max="12313" width="8" style="77" customWidth="1"/>
    <col min="12314" max="12314" width="9.5703125" style="77" customWidth="1"/>
    <col min="12315" max="12315" width="11.5703125" style="77" customWidth="1"/>
    <col min="12316" max="12317" width="9.140625" style="77"/>
    <col min="12318" max="12318" width="10.5703125" style="77" customWidth="1"/>
    <col min="12319" max="12319" width="0" style="77" hidden="1" customWidth="1"/>
    <col min="12320" max="12555" width="9.140625" style="77"/>
    <col min="12556" max="12556" width="5.5703125" style="77" customWidth="1"/>
    <col min="12557" max="12557" width="6.5703125" style="77" customWidth="1"/>
    <col min="12558" max="12558" width="5.85546875" style="77" customWidth="1"/>
    <col min="12559" max="12559" width="13.140625" style="77" customWidth="1"/>
    <col min="12560" max="12561" width="10.5703125" style="77" customWidth="1"/>
    <col min="12562" max="12562" width="11.42578125" style="77" customWidth="1"/>
    <col min="12563" max="12563" width="9.85546875" style="77" customWidth="1"/>
    <col min="12564" max="12564" width="12.5703125" style="77" customWidth="1"/>
    <col min="12565" max="12565" width="21.140625" style="77" customWidth="1"/>
    <col min="12566" max="12566" width="14.140625" style="77" customWidth="1"/>
    <col min="12567" max="12567" width="16.28515625" style="77" customWidth="1"/>
    <col min="12568" max="12568" width="4.7109375" style="77" customWidth="1"/>
    <col min="12569" max="12569" width="8" style="77" customWidth="1"/>
    <col min="12570" max="12570" width="9.5703125" style="77" customWidth="1"/>
    <col min="12571" max="12571" width="11.5703125" style="77" customWidth="1"/>
    <col min="12572" max="12573" width="9.140625" style="77"/>
    <col min="12574" max="12574" width="10.5703125" style="77" customWidth="1"/>
    <col min="12575" max="12575" width="0" style="77" hidden="1" customWidth="1"/>
    <col min="12576" max="12811" width="9.140625" style="77"/>
    <col min="12812" max="12812" width="5.5703125" style="77" customWidth="1"/>
    <col min="12813" max="12813" width="6.5703125" style="77" customWidth="1"/>
    <col min="12814" max="12814" width="5.85546875" style="77" customWidth="1"/>
    <col min="12815" max="12815" width="13.140625" style="77" customWidth="1"/>
    <col min="12816" max="12817" width="10.5703125" style="77" customWidth="1"/>
    <col min="12818" max="12818" width="11.42578125" style="77" customWidth="1"/>
    <col min="12819" max="12819" width="9.85546875" style="77" customWidth="1"/>
    <col min="12820" max="12820" width="12.5703125" style="77" customWidth="1"/>
    <col min="12821" max="12821" width="21.140625" style="77" customWidth="1"/>
    <col min="12822" max="12822" width="14.140625" style="77" customWidth="1"/>
    <col min="12823" max="12823" width="16.28515625" style="77" customWidth="1"/>
    <col min="12824" max="12824" width="4.7109375" style="77" customWidth="1"/>
    <col min="12825" max="12825" width="8" style="77" customWidth="1"/>
    <col min="12826" max="12826" width="9.5703125" style="77" customWidth="1"/>
    <col min="12827" max="12827" width="11.5703125" style="77" customWidth="1"/>
    <col min="12828" max="12829" width="9.140625" style="77"/>
    <col min="12830" max="12830" width="10.5703125" style="77" customWidth="1"/>
    <col min="12831" max="12831" width="0" style="77" hidden="1" customWidth="1"/>
    <col min="12832" max="13067" width="9.140625" style="77"/>
    <col min="13068" max="13068" width="5.5703125" style="77" customWidth="1"/>
    <col min="13069" max="13069" width="6.5703125" style="77" customWidth="1"/>
    <col min="13070" max="13070" width="5.85546875" style="77" customWidth="1"/>
    <col min="13071" max="13071" width="13.140625" style="77" customWidth="1"/>
    <col min="13072" max="13073" width="10.5703125" style="77" customWidth="1"/>
    <col min="13074" max="13074" width="11.42578125" style="77" customWidth="1"/>
    <col min="13075" max="13075" width="9.85546875" style="77" customWidth="1"/>
    <col min="13076" max="13076" width="12.5703125" style="77" customWidth="1"/>
    <col min="13077" max="13077" width="21.140625" style="77" customWidth="1"/>
    <col min="13078" max="13078" width="14.140625" style="77" customWidth="1"/>
    <col min="13079" max="13079" width="16.28515625" style="77" customWidth="1"/>
    <col min="13080" max="13080" width="4.7109375" style="77" customWidth="1"/>
    <col min="13081" max="13081" width="8" style="77" customWidth="1"/>
    <col min="13082" max="13082" width="9.5703125" style="77" customWidth="1"/>
    <col min="13083" max="13083" width="11.5703125" style="77" customWidth="1"/>
    <col min="13084" max="13085" width="9.140625" style="77"/>
    <col min="13086" max="13086" width="10.5703125" style="77" customWidth="1"/>
    <col min="13087" max="13087" width="0" style="77" hidden="1" customWidth="1"/>
    <col min="13088" max="13323" width="9.140625" style="77"/>
    <col min="13324" max="13324" width="5.5703125" style="77" customWidth="1"/>
    <col min="13325" max="13325" width="6.5703125" style="77" customWidth="1"/>
    <col min="13326" max="13326" width="5.85546875" style="77" customWidth="1"/>
    <col min="13327" max="13327" width="13.140625" style="77" customWidth="1"/>
    <col min="13328" max="13329" width="10.5703125" style="77" customWidth="1"/>
    <col min="13330" max="13330" width="11.42578125" style="77" customWidth="1"/>
    <col min="13331" max="13331" width="9.85546875" style="77" customWidth="1"/>
    <col min="13332" max="13332" width="12.5703125" style="77" customWidth="1"/>
    <col min="13333" max="13333" width="21.140625" style="77" customWidth="1"/>
    <col min="13334" max="13334" width="14.140625" style="77" customWidth="1"/>
    <col min="13335" max="13335" width="16.28515625" style="77" customWidth="1"/>
    <col min="13336" max="13336" width="4.7109375" style="77" customWidth="1"/>
    <col min="13337" max="13337" width="8" style="77" customWidth="1"/>
    <col min="13338" max="13338" width="9.5703125" style="77" customWidth="1"/>
    <col min="13339" max="13339" width="11.5703125" style="77" customWidth="1"/>
    <col min="13340" max="13341" width="9.140625" style="77"/>
    <col min="13342" max="13342" width="10.5703125" style="77" customWidth="1"/>
    <col min="13343" max="13343" width="0" style="77" hidden="1" customWidth="1"/>
    <col min="13344" max="13579" width="9.140625" style="77"/>
    <col min="13580" max="13580" width="5.5703125" style="77" customWidth="1"/>
    <col min="13581" max="13581" width="6.5703125" style="77" customWidth="1"/>
    <col min="13582" max="13582" width="5.85546875" style="77" customWidth="1"/>
    <col min="13583" max="13583" width="13.140625" style="77" customWidth="1"/>
    <col min="13584" max="13585" width="10.5703125" style="77" customWidth="1"/>
    <col min="13586" max="13586" width="11.42578125" style="77" customWidth="1"/>
    <col min="13587" max="13587" width="9.85546875" style="77" customWidth="1"/>
    <col min="13588" max="13588" width="12.5703125" style="77" customWidth="1"/>
    <col min="13589" max="13589" width="21.140625" style="77" customWidth="1"/>
    <col min="13590" max="13590" width="14.140625" style="77" customWidth="1"/>
    <col min="13591" max="13591" width="16.28515625" style="77" customWidth="1"/>
    <col min="13592" max="13592" width="4.7109375" style="77" customWidth="1"/>
    <col min="13593" max="13593" width="8" style="77" customWidth="1"/>
    <col min="13594" max="13594" width="9.5703125" style="77" customWidth="1"/>
    <col min="13595" max="13595" width="11.5703125" style="77" customWidth="1"/>
    <col min="13596" max="13597" width="9.140625" style="77"/>
    <col min="13598" max="13598" width="10.5703125" style="77" customWidth="1"/>
    <col min="13599" max="13599" width="0" style="77" hidden="1" customWidth="1"/>
    <col min="13600" max="13835" width="9.140625" style="77"/>
    <col min="13836" max="13836" width="5.5703125" style="77" customWidth="1"/>
    <col min="13837" max="13837" width="6.5703125" style="77" customWidth="1"/>
    <col min="13838" max="13838" width="5.85546875" style="77" customWidth="1"/>
    <col min="13839" max="13839" width="13.140625" style="77" customWidth="1"/>
    <col min="13840" max="13841" width="10.5703125" style="77" customWidth="1"/>
    <col min="13842" max="13842" width="11.42578125" style="77" customWidth="1"/>
    <col min="13843" max="13843" width="9.85546875" style="77" customWidth="1"/>
    <col min="13844" max="13844" width="12.5703125" style="77" customWidth="1"/>
    <col min="13845" max="13845" width="21.140625" style="77" customWidth="1"/>
    <col min="13846" max="13846" width="14.140625" style="77" customWidth="1"/>
    <col min="13847" max="13847" width="16.28515625" style="77" customWidth="1"/>
    <col min="13848" max="13848" width="4.7109375" style="77" customWidth="1"/>
    <col min="13849" max="13849" width="8" style="77" customWidth="1"/>
    <col min="13850" max="13850" width="9.5703125" style="77" customWidth="1"/>
    <col min="13851" max="13851" width="11.5703125" style="77" customWidth="1"/>
    <col min="13852" max="13853" width="9.140625" style="77"/>
    <col min="13854" max="13854" width="10.5703125" style="77" customWidth="1"/>
    <col min="13855" max="13855" width="0" style="77" hidden="1" customWidth="1"/>
    <col min="13856" max="14091" width="9.140625" style="77"/>
    <col min="14092" max="14092" width="5.5703125" style="77" customWidth="1"/>
    <col min="14093" max="14093" width="6.5703125" style="77" customWidth="1"/>
    <col min="14094" max="14094" width="5.85546875" style="77" customWidth="1"/>
    <col min="14095" max="14095" width="13.140625" style="77" customWidth="1"/>
    <col min="14096" max="14097" width="10.5703125" style="77" customWidth="1"/>
    <col min="14098" max="14098" width="11.42578125" style="77" customWidth="1"/>
    <col min="14099" max="14099" width="9.85546875" style="77" customWidth="1"/>
    <col min="14100" max="14100" width="12.5703125" style="77" customWidth="1"/>
    <col min="14101" max="14101" width="21.140625" style="77" customWidth="1"/>
    <col min="14102" max="14102" width="14.140625" style="77" customWidth="1"/>
    <col min="14103" max="14103" width="16.28515625" style="77" customWidth="1"/>
    <col min="14104" max="14104" width="4.7109375" style="77" customWidth="1"/>
    <col min="14105" max="14105" width="8" style="77" customWidth="1"/>
    <col min="14106" max="14106" width="9.5703125" style="77" customWidth="1"/>
    <col min="14107" max="14107" width="11.5703125" style="77" customWidth="1"/>
    <col min="14108" max="14109" width="9.140625" style="77"/>
    <col min="14110" max="14110" width="10.5703125" style="77" customWidth="1"/>
    <col min="14111" max="14111" width="0" style="77" hidden="1" customWidth="1"/>
    <col min="14112" max="14347" width="9.140625" style="77"/>
    <col min="14348" max="14348" width="5.5703125" style="77" customWidth="1"/>
    <col min="14349" max="14349" width="6.5703125" style="77" customWidth="1"/>
    <col min="14350" max="14350" width="5.85546875" style="77" customWidth="1"/>
    <col min="14351" max="14351" width="13.140625" style="77" customWidth="1"/>
    <col min="14352" max="14353" width="10.5703125" style="77" customWidth="1"/>
    <col min="14354" max="14354" width="11.42578125" style="77" customWidth="1"/>
    <col min="14355" max="14355" width="9.85546875" style="77" customWidth="1"/>
    <col min="14356" max="14356" width="12.5703125" style="77" customWidth="1"/>
    <col min="14357" max="14357" width="21.140625" style="77" customWidth="1"/>
    <col min="14358" max="14358" width="14.140625" style="77" customWidth="1"/>
    <col min="14359" max="14359" width="16.28515625" style="77" customWidth="1"/>
    <col min="14360" max="14360" width="4.7109375" style="77" customWidth="1"/>
    <col min="14361" max="14361" width="8" style="77" customWidth="1"/>
    <col min="14362" max="14362" width="9.5703125" style="77" customWidth="1"/>
    <col min="14363" max="14363" width="11.5703125" style="77" customWidth="1"/>
    <col min="14364" max="14365" width="9.140625" style="77"/>
    <col min="14366" max="14366" width="10.5703125" style="77" customWidth="1"/>
    <col min="14367" max="14367" width="0" style="77" hidden="1" customWidth="1"/>
    <col min="14368" max="14603" width="9.140625" style="77"/>
    <col min="14604" max="14604" width="5.5703125" style="77" customWidth="1"/>
    <col min="14605" max="14605" width="6.5703125" style="77" customWidth="1"/>
    <col min="14606" max="14606" width="5.85546875" style="77" customWidth="1"/>
    <col min="14607" max="14607" width="13.140625" style="77" customWidth="1"/>
    <col min="14608" max="14609" width="10.5703125" style="77" customWidth="1"/>
    <col min="14610" max="14610" width="11.42578125" style="77" customWidth="1"/>
    <col min="14611" max="14611" width="9.85546875" style="77" customWidth="1"/>
    <col min="14612" max="14612" width="12.5703125" style="77" customWidth="1"/>
    <col min="14613" max="14613" width="21.140625" style="77" customWidth="1"/>
    <col min="14614" max="14614" width="14.140625" style="77" customWidth="1"/>
    <col min="14615" max="14615" width="16.28515625" style="77" customWidth="1"/>
    <col min="14616" max="14616" width="4.7109375" style="77" customWidth="1"/>
    <col min="14617" max="14617" width="8" style="77" customWidth="1"/>
    <col min="14618" max="14618" width="9.5703125" style="77" customWidth="1"/>
    <col min="14619" max="14619" width="11.5703125" style="77" customWidth="1"/>
    <col min="14620" max="14621" width="9.140625" style="77"/>
    <col min="14622" max="14622" width="10.5703125" style="77" customWidth="1"/>
    <col min="14623" max="14623" width="0" style="77" hidden="1" customWidth="1"/>
    <col min="14624" max="14859" width="9.140625" style="77"/>
    <col min="14860" max="14860" width="5.5703125" style="77" customWidth="1"/>
    <col min="14861" max="14861" width="6.5703125" style="77" customWidth="1"/>
    <col min="14862" max="14862" width="5.85546875" style="77" customWidth="1"/>
    <col min="14863" max="14863" width="13.140625" style="77" customWidth="1"/>
    <col min="14864" max="14865" width="10.5703125" style="77" customWidth="1"/>
    <col min="14866" max="14866" width="11.42578125" style="77" customWidth="1"/>
    <col min="14867" max="14867" width="9.85546875" style="77" customWidth="1"/>
    <col min="14868" max="14868" width="12.5703125" style="77" customWidth="1"/>
    <col min="14869" max="14869" width="21.140625" style="77" customWidth="1"/>
    <col min="14870" max="14870" width="14.140625" style="77" customWidth="1"/>
    <col min="14871" max="14871" width="16.28515625" style="77" customWidth="1"/>
    <col min="14872" max="14872" width="4.7109375" style="77" customWidth="1"/>
    <col min="14873" max="14873" width="8" style="77" customWidth="1"/>
    <col min="14874" max="14874" width="9.5703125" style="77" customWidth="1"/>
    <col min="14875" max="14875" width="11.5703125" style="77" customWidth="1"/>
    <col min="14876" max="14877" width="9.140625" style="77"/>
    <col min="14878" max="14878" width="10.5703125" style="77" customWidth="1"/>
    <col min="14879" max="14879" width="0" style="77" hidden="1" customWidth="1"/>
    <col min="14880" max="15115" width="9.140625" style="77"/>
    <col min="15116" max="15116" width="5.5703125" style="77" customWidth="1"/>
    <col min="15117" max="15117" width="6.5703125" style="77" customWidth="1"/>
    <col min="15118" max="15118" width="5.85546875" style="77" customWidth="1"/>
    <col min="15119" max="15119" width="13.140625" style="77" customWidth="1"/>
    <col min="15120" max="15121" width="10.5703125" style="77" customWidth="1"/>
    <col min="15122" max="15122" width="11.42578125" style="77" customWidth="1"/>
    <col min="15123" max="15123" width="9.85546875" style="77" customWidth="1"/>
    <col min="15124" max="15124" width="12.5703125" style="77" customWidth="1"/>
    <col min="15125" max="15125" width="21.140625" style="77" customWidth="1"/>
    <col min="15126" max="15126" width="14.140625" style="77" customWidth="1"/>
    <col min="15127" max="15127" width="16.28515625" style="77" customWidth="1"/>
    <col min="15128" max="15128" width="4.7109375" style="77" customWidth="1"/>
    <col min="15129" max="15129" width="8" style="77" customWidth="1"/>
    <col min="15130" max="15130" width="9.5703125" style="77" customWidth="1"/>
    <col min="15131" max="15131" width="11.5703125" style="77" customWidth="1"/>
    <col min="15132" max="15133" width="9.140625" style="77"/>
    <col min="15134" max="15134" width="10.5703125" style="77" customWidth="1"/>
    <col min="15135" max="15135" width="0" style="77" hidden="1" customWidth="1"/>
    <col min="15136" max="15371" width="9.140625" style="77"/>
    <col min="15372" max="15372" width="5.5703125" style="77" customWidth="1"/>
    <col min="15373" max="15373" width="6.5703125" style="77" customWidth="1"/>
    <col min="15374" max="15374" width="5.85546875" style="77" customWidth="1"/>
    <col min="15375" max="15375" width="13.140625" style="77" customWidth="1"/>
    <col min="15376" max="15377" width="10.5703125" style="77" customWidth="1"/>
    <col min="15378" max="15378" width="11.42578125" style="77" customWidth="1"/>
    <col min="15379" max="15379" width="9.85546875" style="77" customWidth="1"/>
    <col min="15380" max="15380" width="12.5703125" style="77" customWidth="1"/>
    <col min="15381" max="15381" width="21.140625" style="77" customWidth="1"/>
    <col min="15382" max="15382" width="14.140625" style="77" customWidth="1"/>
    <col min="15383" max="15383" width="16.28515625" style="77" customWidth="1"/>
    <col min="15384" max="15384" width="4.7109375" style="77" customWidth="1"/>
    <col min="15385" max="15385" width="8" style="77" customWidth="1"/>
    <col min="15386" max="15386" width="9.5703125" style="77" customWidth="1"/>
    <col min="15387" max="15387" width="11.5703125" style="77" customWidth="1"/>
    <col min="15388" max="15389" width="9.140625" style="77"/>
    <col min="15390" max="15390" width="10.5703125" style="77" customWidth="1"/>
    <col min="15391" max="15391" width="0" style="77" hidden="1" customWidth="1"/>
    <col min="15392" max="15627" width="9.140625" style="77"/>
    <col min="15628" max="15628" width="5.5703125" style="77" customWidth="1"/>
    <col min="15629" max="15629" width="6.5703125" style="77" customWidth="1"/>
    <col min="15630" max="15630" width="5.85546875" style="77" customWidth="1"/>
    <col min="15631" max="15631" width="13.140625" style="77" customWidth="1"/>
    <col min="15632" max="15633" width="10.5703125" style="77" customWidth="1"/>
    <col min="15634" max="15634" width="11.42578125" style="77" customWidth="1"/>
    <col min="15635" max="15635" width="9.85546875" style="77" customWidth="1"/>
    <col min="15636" max="15636" width="12.5703125" style="77" customWidth="1"/>
    <col min="15637" max="15637" width="21.140625" style="77" customWidth="1"/>
    <col min="15638" max="15638" width="14.140625" style="77" customWidth="1"/>
    <col min="15639" max="15639" width="16.28515625" style="77" customWidth="1"/>
    <col min="15640" max="15640" width="4.7109375" style="77" customWidth="1"/>
    <col min="15641" max="15641" width="8" style="77" customWidth="1"/>
    <col min="15642" max="15642" width="9.5703125" style="77" customWidth="1"/>
    <col min="15643" max="15643" width="11.5703125" style="77" customWidth="1"/>
    <col min="15644" max="15645" width="9.140625" style="77"/>
    <col min="15646" max="15646" width="10.5703125" style="77" customWidth="1"/>
    <col min="15647" max="15647" width="0" style="77" hidden="1" customWidth="1"/>
    <col min="15648" max="15883" width="9.140625" style="77"/>
    <col min="15884" max="15884" width="5.5703125" style="77" customWidth="1"/>
    <col min="15885" max="15885" width="6.5703125" style="77" customWidth="1"/>
    <col min="15886" max="15886" width="5.85546875" style="77" customWidth="1"/>
    <col min="15887" max="15887" width="13.140625" style="77" customWidth="1"/>
    <col min="15888" max="15889" width="10.5703125" style="77" customWidth="1"/>
    <col min="15890" max="15890" width="11.42578125" style="77" customWidth="1"/>
    <col min="15891" max="15891" width="9.85546875" style="77" customWidth="1"/>
    <col min="15892" max="15892" width="12.5703125" style="77" customWidth="1"/>
    <col min="15893" max="15893" width="21.140625" style="77" customWidth="1"/>
    <col min="15894" max="15894" width="14.140625" style="77" customWidth="1"/>
    <col min="15895" max="15895" width="16.28515625" style="77" customWidth="1"/>
    <col min="15896" max="15896" width="4.7109375" style="77" customWidth="1"/>
    <col min="15897" max="15897" width="8" style="77" customWidth="1"/>
    <col min="15898" max="15898" width="9.5703125" style="77" customWidth="1"/>
    <col min="15899" max="15899" width="11.5703125" style="77" customWidth="1"/>
    <col min="15900" max="15901" width="9.140625" style="77"/>
    <col min="15902" max="15902" width="10.5703125" style="77" customWidth="1"/>
    <col min="15903" max="15903" width="0" style="77" hidden="1" customWidth="1"/>
    <col min="15904" max="16139" width="9.140625" style="77"/>
    <col min="16140" max="16140" width="5.5703125" style="77" customWidth="1"/>
    <col min="16141" max="16141" width="6.5703125" style="77" customWidth="1"/>
    <col min="16142" max="16142" width="5.85546875" style="77" customWidth="1"/>
    <col min="16143" max="16143" width="13.140625" style="77" customWidth="1"/>
    <col min="16144" max="16145" width="10.5703125" style="77" customWidth="1"/>
    <col min="16146" max="16146" width="11.42578125" style="77" customWidth="1"/>
    <col min="16147" max="16147" width="9.85546875" style="77" customWidth="1"/>
    <col min="16148" max="16148" width="12.5703125" style="77" customWidth="1"/>
    <col min="16149" max="16149" width="21.140625" style="77" customWidth="1"/>
    <col min="16150" max="16150" width="14.140625" style="77" customWidth="1"/>
    <col min="16151" max="16151" width="16.28515625" style="77" customWidth="1"/>
    <col min="16152" max="16152" width="4.7109375" style="77" customWidth="1"/>
    <col min="16153" max="16153" width="8" style="77" customWidth="1"/>
    <col min="16154" max="16154" width="9.5703125" style="77" customWidth="1"/>
    <col min="16155" max="16155" width="11.5703125" style="77" customWidth="1"/>
    <col min="16156" max="16157" width="9.140625" style="77"/>
    <col min="16158" max="16158" width="10.5703125" style="77" customWidth="1"/>
    <col min="16159" max="16159" width="0" style="77" hidden="1" customWidth="1"/>
    <col min="16160" max="16384" width="9.140625" style="77"/>
  </cols>
  <sheetData>
    <row r="1" spans="1:69" s="2" customFormat="1" ht="5.05" customHeight="1">
      <c r="A1" s="108"/>
      <c r="B1" s="108"/>
      <c r="C1" s="108"/>
      <c r="D1" s="108"/>
      <c r="E1" s="108"/>
      <c r="F1" s="108"/>
      <c r="G1" s="1"/>
      <c r="H1" s="1"/>
      <c r="I1" s="1"/>
      <c r="J1" s="1"/>
      <c r="K1" s="1"/>
      <c r="L1" s="1"/>
      <c r="M1" s="1"/>
      <c r="N1" s="1"/>
      <c r="O1" s="1"/>
      <c r="P1" s="1"/>
      <c r="Q1" s="1"/>
      <c r="R1" s="1"/>
      <c r="S1" s="1"/>
      <c r="T1" s="1"/>
      <c r="U1" s="1"/>
      <c r="V1" s="1"/>
      <c r="W1" s="1"/>
      <c r="X1" s="1"/>
      <c r="Y1" s="1"/>
      <c r="Z1" s="1"/>
      <c r="AA1" s="1"/>
      <c r="AB1" s="1"/>
      <c r="AD1" s="12"/>
      <c r="AE1" s="16"/>
      <c r="AF1" s="48"/>
      <c r="AG1" s="58"/>
      <c r="AH1" s="75"/>
      <c r="AI1" s="59"/>
      <c r="AJ1" s="59"/>
      <c r="AK1" s="60"/>
      <c r="AL1" s="59"/>
      <c r="AM1" s="59"/>
      <c r="AN1" s="61"/>
      <c r="AO1" s="12"/>
      <c r="AP1" s="16"/>
      <c r="AQ1" s="12"/>
      <c r="AR1" s="16"/>
      <c r="AS1" s="16"/>
      <c r="AT1" s="16"/>
      <c r="AU1" s="13"/>
      <c r="AV1" s="16"/>
      <c r="AW1" s="13"/>
      <c r="AX1" s="49"/>
      <c r="AY1" s="49"/>
      <c r="BM1" s="259"/>
      <c r="BN1" s="259"/>
      <c r="BO1" s="259"/>
      <c r="BP1" s="259"/>
      <c r="BQ1" s="259"/>
    </row>
    <row r="2" spans="1:69" s="2" customFormat="1" ht="36" customHeight="1">
      <c r="A2" s="236"/>
      <c r="B2" s="236"/>
      <c r="C2" s="108"/>
      <c r="D2" s="108"/>
      <c r="E2" s="108" t="s">
        <v>136</v>
      </c>
      <c r="F2" s="108"/>
      <c r="G2" s="1"/>
      <c r="H2" s="1"/>
      <c r="I2" s="1"/>
      <c r="J2" s="1"/>
      <c r="K2" s="1"/>
      <c r="L2" s="1"/>
      <c r="M2" s="3"/>
      <c r="N2" s="3"/>
      <c r="O2" s="1"/>
      <c r="P2" s="1"/>
      <c r="Q2" s="1"/>
      <c r="R2" s="1"/>
      <c r="S2" s="1"/>
      <c r="T2" s="1"/>
      <c r="U2" s="1"/>
      <c r="V2" s="4"/>
      <c r="W2" s="4"/>
      <c r="X2" s="4"/>
      <c r="Y2" s="1"/>
      <c r="Z2" s="1"/>
      <c r="AA2" s="1"/>
      <c r="AB2" s="1"/>
      <c r="AD2" s="12"/>
      <c r="AE2" s="17"/>
      <c r="AF2" s="48"/>
      <c r="AG2" s="62"/>
      <c r="AH2" s="78"/>
      <c r="AI2" s="79"/>
      <c r="AJ2" s="79"/>
      <c r="AK2" s="64"/>
      <c r="AL2" s="63"/>
      <c r="AM2" s="79"/>
      <c r="AN2" s="65"/>
      <c r="AO2" s="80"/>
      <c r="AP2" s="17"/>
      <c r="AQ2" s="12"/>
      <c r="AR2" s="17"/>
      <c r="AS2" s="17"/>
      <c r="AT2" s="17"/>
      <c r="AU2" s="13"/>
      <c r="AV2" s="17"/>
      <c r="AW2" s="13"/>
      <c r="AX2" s="49"/>
      <c r="AY2" s="49"/>
      <c r="BM2" s="259"/>
      <c r="BN2" s="259"/>
      <c r="BO2" s="259"/>
      <c r="BP2" s="259"/>
      <c r="BQ2" s="259"/>
    </row>
    <row r="3" spans="1:69" s="2" customFormat="1" ht="9" customHeight="1">
      <c r="A3" s="268"/>
      <c r="B3" s="381"/>
      <c r="C3" s="382"/>
      <c r="D3" s="111"/>
      <c r="E3" s="380" t="s">
        <v>1660</v>
      </c>
      <c r="F3" s="108"/>
      <c r="G3" s="383" t="s">
        <v>1786</v>
      </c>
      <c r="H3" s="383"/>
      <c r="I3" s="383"/>
      <c r="J3" s="383"/>
      <c r="K3" s="383"/>
      <c r="L3" s="383"/>
      <c r="M3" s="383"/>
      <c r="N3" s="383"/>
      <c r="O3" s="383"/>
      <c r="P3" s="383"/>
      <c r="Q3" s="383"/>
      <c r="R3" s="383"/>
      <c r="S3" s="383"/>
      <c r="T3" s="383"/>
      <c r="U3" s="383"/>
      <c r="V3" s="383"/>
      <c r="W3" s="383"/>
      <c r="X3" s="383"/>
      <c r="Y3" s="383"/>
      <c r="Z3" s="383"/>
      <c r="AA3" s="383"/>
      <c r="AB3" s="383"/>
      <c r="AD3" s="12"/>
      <c r="AE3" s="17"/>
      <c r="AF3" s="48"/>
      <c r="AG3" s="62"/>
      <c r="AH3" s="76"/>
      <c r="AI3" s="63"/>
      <c r="AJ3" s="63"/>
      <c r="AK3" s="64"/>
      <c r="AL3" s="63"/>
      <c r="AM3" s="63"/>
      <c r="AN3" s="65"/>
      <c r="AO3" s="12"/>
      <c r="AP3" s="17"/>
      <c r="AQ3" s="12"/>
      <c r="AR3" s="17"/>
      <c r="AS3" s="17"/>
      <c r="AT3" s="17"/>
      <c r="AU3" s="13"/>
      <c r="AV3" s="17"/>
      <c r="AW3" s="13"/>
      <c r="AX3" s="49"/>
      <c r="AY3" s="49"/>
      <c r="BM3" s="259"/>
      <c r="BN3" s="259"/>
      <c r="BO3" s="259"/>
      <c r="BP3" s="259"/>
      <c r="BQ3" s="259"/>
    </row>
    <row r="4" spans="1:69" s="2" customFormat="1" ht="9" customHeight="1">
      <c r="A4" s="268"/>
      <c r="B4" s="381"/>
      <c r="C4" s="382"/>
      <c r="D4" s="111"/>
      <c r="E4" s="380"/>
      <c r="F4" s="108"/>
      <c r="G4" s="383"/>
      <c r="H4" s="383"/>
      <c r="I4" s="383"/>
      <c r="J4" s="383"/>
      <c r="K4" s="383"/>
      <c r="L4" s="383"/>
      <c r="M4" s="383"/>
      <c r="N4" s="383"/>
      <c r="O4" s="383"/>
      <c r="P4" s="383"/>
      <c r="Q4" s="383"/>
      <c r="R4" s="383"/>
      <c r="S4" s="383"/>
      <c r="T4" s="383"/>
      <c r="U4" s="383"/>
      <c r="V4" s="383"/>
      <c r="W4" s="383"/>
      <c r="X4" s="383"/>
      <c r="Y4" s="383"/>
      <c r="Z4" s="383"/>
      <c r="AA4" s="383"/>
      <c r="AB4" s="383"/>
      <c r="AD4" s="12"/>
      <c r="AE4" s="17"/>
      <c r="AF4" s="48"/>
      <c r="AG4" s="62"/>
      <c r="AH4" s="76"/>
      <c r="AI4" s="63"/>
      <c r="AJ4" s="63"/>
      <c r="AK4" s="64"/>
      <c r="AL4" s="63"/>
      <c r="AM4" s="63"/>
      <c r="AN4" s="65"/>
      <c r="AO4" s="12"/>
      <c r="AP4" s="17"/>
      <c r="AQ4" s="12"/>
      <c r="AR4" s="17"/>
      <c r="AS4" s="17"/>
      <c r="AT4" s="17"/>
      <c r="AU4" s="13"/>
      <c r="AV4" s="17"/>
      <c r="AW4" s="13"/>
      <c r="AX4" s="49"/>
      <c r="AY4" s="49"/>
      <c r="BM4" s="259"/>
      <c r="BN4" s="259"/>
      <c r="BO4" s="259"/>
      <c r="BP4" s="259"/>
      <c r="BQ4" s="259"/>
    </row>
    <row r="5" spans="1:69" s="2" customFormat="1" ht="16.2" customHeight="1">
      <c r="A5" s="268"/>
      <c r="B5" s="381"/>
      <c r="C5" s="382"/>
      <c r="D5" s="111"/>
      <c r="E5" s="380"/>
      <c r="F5" s="108"/>
      <c r="G5" s="5"/>
      <c r="H5" s="5"/>
      <c r="I5" s="5"/>
      <c r="J5" s="5"/>
      <c r="K5" s="6"/>
      <c r="L5" s="5"/>
      <c r="M5" s="6"/>
      <c r="N5" s="5"/>
      <c r="O5" s="5"/>
      <c r="P5" s="5"/>
      <c r="Q5" s="5"/>
      <c r="R5" s="6"/>
      <c r="S5" s="5"/>
      <c r="T5" s="7"/>
      <c r="U5" s="5"/>
      <c r="V5" s="6"/>
      <c r="W5" s="6"/>
      <c r="X5" s="5"/>
      <c r="Y5" s="5"/>
      <c r="Z5" s="344">
        <f ca="1">TODAY()</f>
        <v>42457</v>
      </c>
      <c r="AA5" s="345"/>
      <c r="AB5" s="346"/>
      <c r="AD5" s="12"/>
      <c r="AE5" s="17"/>
      <c r="AF5" s="48"/>
      <c r="AG5" s="62"/>
      <c r="AH5" s="76"/>
      <c r="AI5" s="63"/>
      <c r="AJ5" s="63"/>
      <c r="AK5" s="64"/>
      <c r="AL5" s="63"/>
      <c r="AM5" s="63"/>
      <c r="AN5" s="65"/>
      <c r="AO5" s="12"/>
      <c r="AP5" s="17"/>
      <c r="AQ5" s="12"/>
      <c r="AR5" s="17"/>
      <c r="AS5" s="17"/>
      <c r="AT5" s="17"/>
      <c r="AU5" s="13"/>
      <c r="AV5" s="17"/>
      <c r="AW5" s="13"/>
      <c r="AX5" s="49"/>
      <c r="AY5" s="49"/>
      <c r="BM5" s="259"/>
      <c r="BN5" s="259"/>
      <c r="BO5" s="259"/>
      <c r="BP5" s="259"/>
      <c r="BQ5" s="259"/>
    </row>
    <row r="6" spans="1:69" s="2" customFormat="1" ht="20.7" customHeight="1">
      <c r="A6" s="110"/>
      <c r="B6" s="110"/>
      <c r="C6" s="110"/>
      <c r="D6" s="110"/>
      <c r="E6" s="110"/>
      <c r="F6" s="110"/>
      <c r="G6" s="55" t="s">
        <v>74</v>
      </c>
      <c r="H6" s="332" t="s">
        <v>2645</v>
      </c>
      <c r="I6" s="333"/>
      <c r="J6" s="358" t="s">
        <v>17</v>
      </c>
      <c r="K6" s="359"/>
      <c r="L6" s="359"/>
      <c r="M6" s="359"/>
      <c r="N6" s="359"/>
      <c r="O6" s="359"/>
      <c r="P6" s="359"/>
      <c r="Q6" s="359"/>
      <c r="R6" s="359"/>
      <c r="S6" s="359"/>
      <c r="T6" s="359"/>
      <c r="U6" s="359"/>
      <c r="V6" s="359"/>
      <c r="W6" s="359"/>
      <c r="X6" s="359"/>
      <c r="Y6" s="359"/>
      <c r="Z6" s="359"/>
      <c r="AA6" s="359"/>
      <c r="AB6" s="360"/>
      <c r="AD6" s="12"/>
      <c r="AE6" s="17"/>
      <c r="AF6" s="48"/>
      <c r="AG6" s="62"/>
      <c r="AH6" s="76"/>
      <c r="AI6" s="63"/>
      <c r="AJ6" s="63"/>
      <c r="AK6" s="64"/>
      <c r="AL6" s="63"/>
      <c r="AM6" s="63"/>
      <c r="AN6" s="65"/>
      <c r="AO6" s="12"/>
      <c r="AP6" s="57"/>
      <c r="AQ6" s="12"/>
      <c r="AR6" s="57"/>
      <c r="AS6" s="17"/>
      <c r="AT6" s="57"/>
      <c r="AU6" s="13"/>
      <c r="AV6" s="57"/>
      <c r="AW6" s="13"/>
      <c r="AX6" s="49"/>
      <c r="AY6" s="49"/>
      <c r="BM6" s="259"/>
      <c r="BN6" s="259"/>
      <c r="BO6" s="259"/>
      <c r="BP6" s="259"/>
      <c r="BQ6" s="259"/>
    </row>
    <row r="7" spans="1:69" s="2" customFormat="1" ht="20.7" customHeight="1">
      <c r="A7" s="110"/>
      <c r="B7" s="110"/>
      <c r="C7" s="110"/>
      <c r="D7" s="110"/>
      <c r="E7" s="110"/>
      <c r="F7" s="110"/>
      <c r="G7" s="384" t="s">
        <v>0</v>
      </c>
      <c r="H7" s="385"/>
      <c r="I7" s="386"/>
      <c r="J7" s="355" t="s">
        <v>2647</v>
      </c>
      <c r="K7" s="356"/>
      <c r="L7" s="356"/>
      <c r="M7" s="356"/>
      <c r="N7" s="357"/>
      <c r="O7" s="353" t="s">
        <v>19</v>
      </c>
      <c r="P7" s="353"/>
      <c r="Q7" s="354"/>
      <c r="R7" s="350"/>
      <c r="S7" s="351"/>
      <c r="T7" s="352"/>
      <c r="U7" s="347" t="s">
        <v>16</v>
      </c>
      <c r="V7" s="348"/>
      <c r="W7" s="348"/>
      <c r="X7" s="348"/>
      <c r="Y7" s="349"/>
      <c r="Z7" s="387"/>
      <c r="AA7" s="388"/>
      <c r="AB7" s="389"/>
      <c r="AD7" s="12"/>
      <c r="AE7" s="17"/>
      <c r="AF7" s="48"/>
      <c r="AG7" s="62"/>
      <c r="AH7" s="76"/>
      <c r="AI7" s="63"/>
      <c r="AJ7" s="63"/>
      <c r="AK7" s="64"/>
      <c r="AL7" s="63"/>
      <c r="AM7" s="63"/>
      <c r="AN7" s="65"/>
      <c r="AO7" s="12"/>
      <c r="AP7" s="17"/>
      <c r="AQ7" s="12"/>
      <c r="AR7" s="17"/>
      <c r="AS7" s="17"/>
      <c r="AT7" s="17"/>
      <c r="AU7" s="13"/>
      <c r="AV7" s="17"/>
      <c r="AW7" s="13"/>
      <c r="AX7" s="49"/>
      <c r="AY7" s="49"/>
      <c r="BM7" s="259"/>
      <c r="BN7" s="259"/>
      <c r="BO7" s="259"/>
      <c r="BP7" s="259"/>
      <c r="BQ7" s="259"/>
    </row>
    <row r="8" spans="1:69" s="2" customFormat="1" ht="20.7" customHeight="1">
      <c r="A8" s="110"/>
      <c r="B8" s="110"/>
      <c r="C8" s="110"/>
      <c r="D8" s="110"/>
      <c r="E8" s="110"/>
      <c r="F8" s="110"/>
      <c r="G8" s="390" t="s">
        <v>15</v>
      </c>
      <c r="H8" s="391"/>
      <c r="I8" s="391"/>
      <c r="J8" s="391"/>
      <c r="K8" s="391"/>
      <c r="L8" s="391"/>
      <c r="M8" s="391"/>
      <c r="N8" s="391"/>
      <c r="O8" s="391"/>
      <c r="P8" s="391"/>
      <c r="Q8" s="391"/>
      <c r="R8" s="391"/>
      <c r="S8" s="391"/>
      <c r="T8" s="391"/>
      <c r="U8" s="391"/>
      <c r="V8" s="391"/>
      <c r="W8" s="391"/>
      <c r="X8" s="391"/>
      <c r="Y8" s="391"/>
      <c r="Z8" s="391"/>
      <c r="AA8" s="391"/>
      <c r="AB8" s="392"/>
      <c r="AD8" s="12"/>
      <c r="AE8" s="18"/>
      <c r="AF8" s="48"/>
      <c r="AG8" s="62"/>
      <c r="AH8" s="76"/>
      <c r="AI8" s="63"/>
      <c r="AJ8" s="63"/>
      <c r="AK8" s="64"/>
      <c r="AL8" s="63"/>
      <c r="AM8" s="63"/>
      <c r="AN8" s="65"/>
      <c r="AO8" s="12"/>
      <c r="AP8" s="18"/>
      <c r="AQ8" s="12"/>
      <c r="AR8" s="18"/>
      <c r="AS8" s="18"/>
      <c r="AT8" s="18"/>
      <c r="AU8" s="13"/>
      <c r="AV8" s="18"/>
      <c r="AW8" s="13"/>
      <c r="AX8" s="49"/>
      <c r="AY8" s="49"/>
      <c r="BM8" s="259"/>
      <c r="BN8" s="259"/>
      <c r="BO8" s="259"/>
      <c r="BP8" s="259"/>
      <c r="BQ8" s="259"/>
    </row>
    <row r="9" spans="1:69" s="2" customFormat="1" ht="22.5" customHeight="1">
      <c r="A9" s="110"/>
      <c r="B9" s="110"/>
      <c r="C9" s="110"/>
      <c r="D9" s="110"/>
      <c r="E9" s="110"/>
      <c r="F9" s="110"/>
      <c r="G9" s="240" t="s">
        <v>20</v>
      </c>
      <c r="H9" s="241" t="s">
        <v>61</v>
      </c>
      <c r="I9" s="241" t="s">
        <v>10</v>
      </c>
      <c r="J9" s="241" t="s">
        <v>13</v>
      </c>
      <c r="K9" s="336" t="s">
        <v>1</v>
      </c>
      <c r="L9" s="336"/>
      <c r="M9" s="336" t="s">
        <v>2</v>
      </c>
      <c r="N9" s="336"/>
      <c r="O9" s="241" t="s">
        <v>3</v>
      </c>
      <c r="P9" s="336" t="s">
        <v>4</v>
      </c>
      <c r="Q9" s="336"/>
      <c r="R9" s="336"/>
      <c r="S9" s="336"/>
      <c r="T9" s="336"/>
      <c r="U9" s="335" t="s">
        <v>76</v>
      </c>
      <c r="V9" s="336"/>
      <c r="W9" s="343" t="s">
        <v>78</v>
      </c>
      <c r="X9" s="336"/>
      <c r="Y9" s="336"/>
      <c r="Z9" s="242" t="s">
        <v>79</v>
      </c>
      <c r="AA9" s="335" t="s">
        <v>83</v>
      </c>
      <c r="AB9" s="361"/>
      <c r="AD9" s="8" t="s">
        <v>59</v>
      </c>
      <c r="AE9" s="8" t="s">
        <v>22</v>
      </c>
      <c r="AF9" s="45" t="s">
        <v>23</v>
      </c>
      <c r="AG9" s="66" t="s">
        <v>32</v>
      </c>
      <c r="AH9" s="70" t="s">
        <v>33</v>
      </c>
      <c r="AI9" s="67" t="s">
        <v>34</v>
      </c>
      <c r="AJ9" s="67" t="s">
        <v>24</v>
      </c>
      <c r="AK9" s="64"/>
      <c r="AL9" s="67" t="s">
        <v>25</v>
      </c>
      <c r="AM9" s="67" t="s">
        <v>26</v>
      </c>
      <c r="AN9" s="68" t="s">
        <v>27</v>
      </c>
      <c r="AO9" s="8" t="s">
        <v>21</v>
      </c>
      <c r="AP9" s="9" t="s">
        <v>81</v>
      </c>
      <c r="AQ9" s="8" t="s">
        <v>35</v>
      </c>
      <c r="AR9" s="8" t="s">
        <v>36</v>
      </c>
      <c r="AS9" s="8" t="s">
        <v>28</v>
      </c>
      <c r="AT9" s="8" t="s">
        <v>29</v>
      </c>
      <c r="AU9" s="8" t="s">
        <v>30</v>
      </c>
      <c r="AV9" s="10" t="s">
        <v>40</v>
      </c>
      <c r="AW9" s="11" t="s">
        <v>37</v>
      </c>
      <c r="AX9" s="45" t="s">
        <v>63</v>
      </c>
      <c r="AY9" s="45" t="s">
        <v>65</v>
      </c>
      <c r="AZ9" s="21" t="s">
        <v>1663</v>
      </c>
      <c r="BA9" s="21" t="s">
        <v>1669</v>
      </c>
      <c r="BB9" s="87" t="s">
        <v>105</v>
      </c>
      <c r="BC9" s="88" t="s">
        <v>106</v>
      </c>
      <c r="BD9" s="88" t="s">
        <v>107</v>
      </c>
      <c r="BE9" s="88" t="s">
        <v>108</v>
      </c>
      <c r="BF9" s="89" t="s">
        <v>109</v>
      </c>
      <c r="BG9" s="87" t="s">
        <v>110</v>
      </c>
      <c r="BH9" s="87" t="s">
        <v>111</v>
      </c>
      <c r="BI9" s="90" t="s">
        <v>112</v>
      </c>
      <c r="BJ9" s="87" t="s">
        <v>113</v>
      </c>
      <c r="BK9" s="87" t="s">
        <v>114</v>
      </c>
      <c r="BL9" s="87" t="s">
        <v>115</v>
      </c>
      <c r="BM9" s="260" t="s">
        <v>116</v>
      </c>
      <c r="BN9" s="260" t="s">
        <v>117</v>
      </c>
      <c r="BO9" s="260" t="s">
        <v>118</v>
      </c>
      <c r="BP9" s="260" t="s">
        <v>119</v>
      </c>
      <c r="BQ9" s="260" t="s">
        <v>120</v>
      </c>
    </row>
    <row r="10" spans="1:69" s="2" customFormat="1" ht="18.75" customHeight="1">
      <c r="A10" s="269" t="s">
        <v>1668</v>
      </c>
      <c r="B10" s="238" t="s">
        <v>700</v>
      </c>
      <c r="C10" s="238" t="s">
        <v>701</v>
      </c>
      <c r="D10" s="238" t="s">
        <v>702</v>
      </c>
      <c r="E10" s="239" t="s">
        <v>703</v>
      </c>
      <c r="F10" s="239" t="s">
        <v>704</v>
      </c>
      <c r="G10" s="243" t="s">
        <v>18</v>
      </c>
      <c r="H10" s="244" t="s">
        <v>62</v>
      </c>
      <c r="I10" s="244" t="s">
        <v>11</v>
      </c>
      <c r="J10" s="245" t="s">
        <v>12</v>
      </c>
      <c r="K10" s="337" t="s">
        <v>5</v>
      </c>
      <c r="L10" s="337"/>
      <c r="M10" s="338" t="s">
        <v>6</v>
      </c>
      <c r="N10" s="338"/>
      <c r="O10" s="245" t="s">
        <v>7</v>
      </c>
      <c r="P10" s="334" t="s">
        <v>14</v>
      </c>
      <c r="Q10" s="334"/>
      <c r="R10" s="334"/>
      <c r="S10" s="334"/>
      <c r="T10" s="334"/>
      <c r="U10" s="342" t="s">
        <v>75</v>
      </c>
      <c r="V10" s="342"/>
      <c r="W10" s="341" t="s">
        <v>77</v>
      </c>
      <c r="X10" s="342"/>
      <c r="Y10" s="342"/>
      <c r="Z10" s="245" t="s">
        <v>80</v>
      </c>
      <c r="AA10" s="334" t="s">
        <v>82</v>
      </c>
      <c r="AB10" s="339"/>
      <c r="AD10" s="9" t="s">
        <v>60</v>
      </c>
      <c r="AE10" s="9" t="s">
        <v>67</v>
      </c>
      <c r="AF10" s="46"/>
      <c r="AG10" s="69" t="s">
        <v>39</v>
      </c>
      <c r="AH10" s="70" t="s">
        <v>39</v>
      </c>
      <c r="AI10" s="70" t="s">
        <v>39</v>
      </c>
      <c r="AJ10" s="70" t="s">
        <v>39</v>
      </c>
      <c r="AK10" s="64"/>
      <c r="AL10" s="70" t="s">
        <v>38</v>
      </c>
      <c r="AM10" s="70" t="s">
        <v>39</v>
      </c>
      <c r="AN10" s="71"/>
      <c r="AO10" s="9" t="s">
        <v>39</v>
      </c>
      <c r="AP10" s="9" t="s">
        <v>68</v>
      </c>
      <c r="AQ10" s="9" t="s">
        <v>38</v>
      </c>
      <c r="AR10" s="9" t="s">
        <v>68</v>
      </c>
      <c r="AS10" s="9" t="s">
        <v>68</v>
      </c>
      <c r="AT10" s="15" t="s">
        <v>68</v>
      </c>
      <c r="AU10" s="15" t="s">
        <v>38</v>
      </c>
      <c r="AV10" s="15" t="s">
        <v>68</v>
      </c>
      <c r="AW10" s="9" t="s">
        <v>38</v>
      </c>
      <c r="AX10" s="46" t="s">
        <v>64</v>
      </c>
      <c r="AY10" s="46" t="s">
        <v>66</v>
      </c>
      <c r="AZ10" s="25"/>
      <c r="BA10" s="25"/>
      <c r="BB10" s="89" t="s">
        <v>121</v>
      </c>
      <c r="BC10" s="89" t="s">
        <v>122</v>
      </c>
      <c r="BD10" s="88" t="s">
        <v>123</v>
      </c>
      <c r="BE10" s="88" t="s">
        <v>124</v>
      </c>
      <c r="BF10" s="89" t="s">
        <v>125</v>
      </c>
      <c r="BG10" s="87" t="s">
        <v>126</v>
      </c>
      <c r="BH10" s="87" t="s">
        <v>1662</v>
      </c>
      <c r="BI10" s="90" t="s">
        <v>127</v>
      </c>
      <c r="BJ10" s="87" t="s">
        <v>128</v>
      </c>
      <c r="BK10" s="87" t="s">
        <v>129</v>
      </c>
      <c r="BL10" s="87" t="s">
        <v>130</v>
      </c>
      <c r="BM10" s="261" t="s">
        <v>131</v>
      </c>
      <c r="BN10" s="261"/>
      <c r="BO10" s="261" t="s">
        <v>132</v>
      </c>
      <c r="BP10" s="262"/>
      <c r="BQ10" s="262"/>
    </row>
    <row r="11" spans="1:69" s="52" customFormat="1" ht="16.05" customHeight="1">
      <c r="A11" s="237"/>
      <c r="B11" s="237" t="s">
        <v>2648</v>
      </c>
      <c r="C11" s="254" t="str">
        <f>IF(B11="","",IFERROR(VLOOKUP(物料汇总表!B11,参考表!A:B,2,FALSE),IFERROR(INDEX('[1]Part Name Dictionary'!$C$1:$C$5000,MATCH(B11,'[1]Part Name Dictionary'!$B$1:$B$5000,0)),IFERROR(VLOOKUP(B11,参考表!N:O,2,FALSE),""))))</f>
        <v>Shaft Top Beam</v>
      </c>
      <c r="D11" s="254" t="str">
        <f>IF(E11&lt;&gt;""," ","")</f>
        <v/>
      </c>
      <c r="E11" s="237"/>
      <c r="F11" s="235" t="str">
        <f>IF(B11="","",IFERROR(INDEX('[1]Part Name Dictionary'!$V$1:$V$5000,MATCH(B11,'[1]Part Name Dictionary'!$B$1:$B$5000,0)),""))</f>
        <v xml:space="preserve">井道顶部梁 </v>
      </c>
      <c r="G11" s="246"/>
      <c r="H11" s="247"/>
      <c r="I11" s="250" t="str">
        <f t="shared" ref="I11:I12" si="0">CONCATENATE(B11,D11,E11)</f>
        <v>井道顶部梁</v>
      </c>
      <c r="J11" s="251" t="str">
        <f>CONCATENATE(C11,D11,E11)</f>
        <v>Shaft Top Beam</v>
      </c>
      <c r="K11" s="327" t="s">
        <v>2650</v>
      </c>
      <c r="L11" s="327"/>
      <c r="M11" s="327" t="s">
        <v>2652</v>
      </c>
      <c r="N11" s="327"/>
      <c r="O11" s="249" t="s">
        <v>2642</v>
      </c>
      <c r="P11" s="328"/>
      <c r="Q11" s="329"/>
      <c r="R11" s="329"/>
      <c r="S11" s="329"/>
      <c r="T11" s="330"/>
      <c r="U11" s="331" t="str">
        <f>IF(H11="TE-F",IFERROR(VLOOKUP(物料汇总表!B11,参考表!A:D,3,FALSE),""),IF(H11="HP61",IFERROR(VLOOKUP(B11,参考表!T:V,3,FALSE),""),IF(OR(H11="RF1",H11="RF2"),IFERROR(VLOOKUP(B11,参考表!N:Q,4,FALSE),IFERROR(VLOOKUP(B11,发运层物料名称参考表!D:E,3,FALSE),"")),IFERROR(VLOOKUP(B11,发运层物料名称参考表!D:H,2,FALSE),IFERROR(VLOOKUP(B11,参考表!N:Q,4,FALSE),"")))))</f>
        <v>02002</v>
      </c>
      <c r="V11" s="331" t="s">
        <v>88</v>
      </c>
      <c r="W11" s="324" t="str">
        <f>IF(H11="TE-F",IFERROR(VLOOKUP(物料汇总表!B11,参考表!A:D,4,FALSE),""),IF(H11="HP61",IFERROR(VLOOKUP(B11,参考表!T:V,2,FALSE),""),IF(OR(H11="RF1",H11="RF2"),IFERROR(VLOOKUP(B11,参考表!N:Q,3,FALSE),IFERROR(VLOOKUP(B11,发运层物料名称参考表!D:G,4,FALSE),"")),IFERROR(VLOOKUP(B11,发运层物料名称参考表!D:H,4,FALSE),IFERROR(VLOOKUP(B11,参考表!N:Q,3,FALSE),"")))))</f>
        <v>A030</v>
      </c>
      <c r="X11" s="325"/>
      <c r="Y11" s="326"/>
      <c r="Z11" s="248" t="s">
        <v>2654</v>
      </c>
      <c r="AA11" s="331" t="str">
        <f>IF(K11="","",IF(M11="","否","是"))</f>
        <v>是</v>
      </c>
      <c r="AB11" s="340" t="s">
        <v>98</v>
      </c>
      <c r="AD11" s="44" t="str">
        <f t="shared" ref="AD11:AD38" si="1">IF($G11="","",IF($Z$5="","",$Z$5))</f>
        <v/>
      </c>
      <c r="AE11" s="56"/>
      <c r="AF11" s="49"/>
      <c r="AG11" s="72" t="str">
        <f t="shared" ref="AG11:AG38" si="2">IF($G11="","",IF($R$7="","",$R$7))</f>
        <v/>
      </c>
      <c r="AH11" s="73" t="str">
        <f t="shared" ref="AH11:AH38" si="3">IF($G11="","",IF($J$7="","",$J$7))</f>
        <v/>
      </c>
      <c r="AI11" s="73" t="str">
        <f t="shared" ref="AI11:AI38" si="4">IF($G11="","",IF($H11="","",$H11))</f>
        <v/>
      </c>
      <c r="AJ11" s="73" t="str">
        <f t="shared" ref="AJ11:AJ38" si="5">IF($G11="","",IF($K11="","",$K11))</f>
        <v/>
      </c>
      <c r="AK11" s="73"/>
      <c r="AL11" s="73" t="str">
        <f t="shared" ref="AL11:AL38" si="6">IF($G11="","",IF($I$39="","",$I$39))</f>
        <v/>
      </c>
      <c r="AM11" s="73" t="str">
        <f t="shared" ref="AM11:AM38" si="7">IF($G11="","",IF($I11="","",$I11))</f>
        <v/>
      </c>
      <c r="AN11" s="74"/>
      <c r="AO11" s="47" t="str">
        <f t="shared" ref="AO11:AO38" si="8">IF($G11="","",IF($P11="","",$P11))</f>
        <v/>
      </c>
      <c r="AP11" s="73" t="str">
        <f>IF($G11="","",IF($AA11="","",$AA11))</f>
        <v/>
      </c>
      <c r="AQ11" s="47" t="str">
        <f t="shared" ref="AQ11:AQ38" si="9">IF($G11="","",IF($M11="","",$M11))</f>
        <v/>
      </c>
      <c r="AR11" s="73" t="str">
        <f>IF($G11="","",IF($U11="","",$U11))</f>
        <v/>
      </c>
      <c r="AS11" s="85"/>
      <c r="AT11" s="73" t="str">
        <f>IF($G11="","",IF($W11="","",$W11))</f>
        <v/>
      </c>
      <c r="AU11" s="51" t="str">
        <f t="shared" ref="AU11:AU38" si="10">IF($G11="","",IF($J11="","",$J11))</f>
        <v/>
      </c>
      <c r="AV11" s="73" t="str">
        <f>IF($G11="","",IF($Z11="","",$Z11))</f>
        <v/>
      </c>
      <c r="AW11" s="47" t="str">
        <f t="shared" ref="AW11:AW39" si="11">IF($G11="","",IF($Z$7="","",$Z$7))</f>
        <v/>
      </c>
      <c r="AX11" s="49"/>
      <c r="AY11" s="49"/>
      <c r="AZ11" s="267" t="str">
        <f>IF(K11="","",H$6)</f>
        <v>CE67251-WL</v>
      </c>
      <c r="BA11" s="267" t="str">
        <f t="shared" ref="BA11:BA39" si="12">IF(K11="","",IF(A11="","",A11))</f>
        <v/>
      </c>
      <c r="BB11" s="93" t="str">
        <f>IF(K11="","",K11)</f>
        <v>330166950</v>
      </c>
      <c r="BC11" s="94" t="str">
        <f>IF(M11="","",M11)</f>
        <v>D300094389</v>
      </c>
      <c r="BD11" s="95"/>
      <c r="BE11" s="96" t="str">
        <f>IF(I11="","",I11)</f>
        <v>井道顶部梁</v>
      </c>
      <c r="BF11" s="94" t="str">
        <f>IF(J11="","",J11)</f>
        <v>Shaft Top Beam</v>
      </c>
      <c r="BG11" s="97"/>
      <c r="BH11" s="97"/>
      <c r="BI11" s="98"/>
      <c r="BJ11" s="97"/>
      <c r="BK11" s="97" t="str">
        <f>IF(Z11="","",Z11)</f>
        <v>PC</v>
      </c>
      <c r="BL11" s="97" t="str">
        <f>IF(P11="","",P11)</f>
        <v/>
      </c>
      <c r="BM11" s="266" t="str">
        <f>IF(W11="","",W11)</f>
        <v>A030</v>
      </c>
      <c r="BN11" s="263"/>
      <c r="BO11" s="266" t="str">
        <f>IF(U11="","",U11)</f>
        <v>02002</v>
      </c>
      <c r="BP11" s="264"/>
      <c r="BQ11" s="264"/>
    </row>
    <row r="12" spans="1:69" s="52" customFormat="1" ht="16.05" customHeight="1">
      <c r="A12" s="237"/>
      <c r="B12" s="237" t="s">
        <v>2655</v>
      </c>
      <c r="C12" s="254" t="str">
        <f>IF(B12="","",IFERROR(VLOOKUP(物料汇总表!B12,参考表!A:B,2,FALSE),IFERROR(INDEX('[1]Part Name Dictionary'!$C$1:$C$5000,MATCH(B12,'[1]Part Name Dictionary'!$B$1:$B$5000,0)),IFERROR(VLOOKUP(B12,参考表!N:O,2,FALSE),""))))</f>
        <v>Guide Rail Bracket</v>
      </c>
      <c r="D12" s="254" t="str">
        <f>IF(E12&lt;&gt;""," ","")</f>
        <v/>
      </c>
      <c r="E12" s="237"/>
      <c r="F12" s="235" t="str">
        <f>IF(B12="","",IFERROR(INDEX('[1]Part Name Dictionary'!$V$1:$V$5000,MATCH(B12,'[1]Part Name Dictionary'!$B$1:$B$5000,0)),""))</f>
        <v>导轨支架 Rail back face to wall(mm)-Rail center to wall(mm)-Guide Rail</v>
      </c>
      <c r="G12" s="246"/>
      <c r="H12" s="247"/>
      <c r="I12" s="250" t="str">
        <f t="shared" si="0"/>
        <v>导轨支架</v>
      </c>
      <c r="J12" s="251" t="str">
        <f>CONCATENATE(C12,D12,E12)</f>
        <v>Guide Rail Bracket</v>
      </c>
      <c r="K12" s="327" t="s">
        <v>2657</v>
      </c>
      <c r="L12" s="327"/>
      <c r="M12" s="327" t="s">
        <v>2659</v>
      </c>
      <c r="N12" s="327"/>
      <c r="O12" s="249" t="s">
        <v>2642</v>
      </c>
      <c r="P12" s="328"/>
      <c r="Q12" s="329"/>
      <c r="R12" s="329"/>
      <c r="S12" s="329"/>
      <c r="T12" s="330"/>
      <c r="U12" s="331" t="str">
        <f>IF(H12="TE-F",IFERROR(VLOOKUP(物料汇总表!B12,参考表!A:D,3,FALSE),""),IF(H12="HP61",IFERROR(VLOOKUP(B12,参考表!T:V,3,FALSE),""),IF(OR(H12="RF1",H12="RF2"),IFERROR(VLOOKUP(B12,参考表!N:Q,4,FALSE),IFERROR(VLOOKUP(B12,发运层物料名称参考表!D:E,3,FALSE),"")),IFERROR(VLOOKUP(B12,发运层物料名称参考表!D:H,2,FALSE),IFERROR(VLOOKUP(B12,参考表!N:Q,4,FALSE),"")))))</f>
        <v>03001</v>
      </c>
      <c r="V12" s="331" t="s">
        <v>88</v>
      </c>
      <c r="W12" s="324" t="str">
        <f>IF(H12="TE-F",IFERROR(VLOOKUP(物料汇总表!B12,参考表!A:D,4,FALSE),""),IF(H12="HP61",IFERROR(VLOOKUP(B12,参考表!T:V,2,FALSE),""),IF(OR(H12="RF1",H12="RF2"),IFERROR(VLOOKUP(B12,参考表!N:Q,3,FALSE),IFERROR(VLOOKUP(B12,发运层物料名称参考表!D:G,4,FALSE),"")),IFERROR(VLOOKUP(B12,发运层物料名称参考表!D:H,4,FALSE),IFERROR(VLOOKUP(B12,参考表!N:Q,3,FALSE),"")))))</f>
        <v>A730</v>
      </c>
      <c r="X12" s="325"/>
      <c r="Y12" s="326"/>
      <c r="Z12" s="323" t="s">
        <v>2654</v>
      </c>
      <c r="AA12" s="331" t="str">
        <f>IF(K12="","",IF(M12="","否","是"))</f>
        <v>是</v>
      </c>
      <c r="AB12" s="340" t="s">
        <v>98</v>
      </c>
      <c r="AD12" s="44" t="str">
        <f t="shared" si="1"/>
        <v/>
      </c>
      <c r="AE12" s="56"/>
      <c r="AF12" s="49"/>
      <c r="AG12" s="72" t="str">
        <f t="shared" si="2"/>
        <v/>
      </c>
      <c r="AH12" s="73" t="str">
        <f t="shared" si="3"/>
        <v/>
      </c>
      <c r="AI12" s="73" t="str">
        <f t="shared" si="4"/>
        <v/>
      </c>
      <c r="AJ12" s="73" t="str">
        <f t="shared" si="5"/>
        <v/>
      </c>
      <c r="AK12" s="73"/>
      <c r="AL12" s="73" t="str">
        <f t="shared" si="6"/>
        <v/>
      </c>
      <c r="AM12" s="73" t="str">
        <f t="shared" si="7"/>
        <v/>
      </c>
      <c r="AN12" s="74"/>
      <c r="AO12" s="47" t="str">
        <f t="shared" si="8"/>
        <v/>
      </c>
      <c r="AP12" s="73" t="str">
        <f>IF($G12="","",IF($AA12="","",$AA12))</f>
        <v/>
      </c>
      <c r="AQ12" s="47" t="str">
        <f t="shared" si="9"/>
        <v/>
      </c>
      <c r="AR12" s="73" t="str">
        <f>IF($G12="","",IF($U12="","",$U12))</f>
        <v/>
      </c>
      <c r="AS12" s="85"/>
      <c r="AT12" s="73" t="str">
        <f>IF($G12="","",IF($W12="","",$W12))</f>
        <v/>
      </c>
      <c r="AU12" s="51" t="str">
        <f t="shared" si="10"/>
        <v/>
      </c>
      <c r="AV12" s="73" t="str">
        <f>IF($G12="","",IF($Z12="","",$Z12))</f>
        <v/>
      </c>
      <c r="AW12" s="47" t="str">
        <f t="shared" si="11"/>
        <v/>
      </c>
      <c r="AX12" s="49"/>
      <c r="AY12" s="49"/>
      <c r="AZ12" s="267" t="str">
        <f>IF(K12="","",H$6)</f>
        <v>CE67251-WL</v>
      </c>
      <c r="BA12" s="267" t="str">
        <f t="shared" si="12"/>
        <v/>
      </c>
      <c r="BB12" s="93" t="str">
        <f>IF(K12="","",K12)</f>
        <v>330166952</v>
      </c>
      <c r="BC12" s="94" t="str">
        <f>IF(M12="","",M12)</f>
        <v>D300094391</v>
      </c>
      <c r="BD12" s="95"/>
      <c r="BE12" s="96" t="str">
        <f>IF(I12="","",I12)</f>
        <v>导轨支架</v>
      </c>
      <c r="BF12" s="94" t="str">
        <f t="shared" ref="BF12:BF39" si="13">IF(J12="","",J12)</f>
        <v>Guide Rail Bracket</v>
      </c>
      <c r="BG12" s="97"/>
      <c r="BH12" s="97"/>
      <c r="BI12" s="98"/>
      <c r="BJ12" s="97"/>
      <c r="BK12" s="97" t="str">
        <f>IF(Z12="","",Z12)</f>
        <v>PC</v>
      </c>
      <c r="BL12" s="97" t="str">
        <f t="shared" ref="BL12:BL39" si="14">IF(P12="","",P12)</f>
        <v/>
      </c>
      <c r="BM12" s="266" t="str">
        <f>IF(W12="","",W12)</f>
        <v>A730</v>
      </c>
      <c r="BN12" s="263"/>
      <c r="BO12" s="266" t="str">
        <f>IF(U12="","",U12)</f>
        <v>03001</v>
      </c>
      <c r="BP12" s="264"/>
      <c r="BQ12" s="264"/>
    </row>
    <row r="13" spans="1:69" s="52" customFormat="1" ht="16.05" customHeight="1">
      <c r="A13" s="237"/>
      <c r="B13" s="237" t="s">
        <v>2655</v>
      </c>
      <c r="C13" s="254" t="str">
        <f>IF(B13="","",IFERROR(VLOOKUP(物料汇总表!B13,参考表!A:B,2,FALSE),IFERROR(INDEX('[1]Part Name Dictionary'!$C$1:$C$5000,MATCH(B13,'[1]Part Name Dictionary'!$B$1:$B$5000,0)),IFERROR(VLOOKUP(B13,参考表!N:O,2,FALSE),""))))</f>
        <v>Guide Rail Bracket</v>
      </c>
      <c r="D13" s="254" t="str">
        <f t="shared" ref="D13:D38" si="15">IF(E13&lt;&gt;""," ","")</f>
        <v/>
      </c>
      <c r="E13" s="237"/>
      <c r="F13" s="235" t="str">
        <f>IF(B13="","",IFERROR(INDEX('[1]Part Name Dictionary'!$V$1:$V$5000,MATCH(B13,'[1]Part Name Dictionary'!$B$1:$B$5000,0)),""))</f>
        <v>导轨支架 Rail back face to wall(mm)-Rail center to wall(mm)-Guide Rail</v>
      </c>
      <c r="G13" s="246"/>
      <c r="H13" s="247"/>
      <c r="I13" s="250" t="str">
        <f t="shared" ref="I13:I38" si="16">CONCATENATE(B13,D13,E13)</f>
        <v>导轨支架</v>
      </c>
      <c r="J13" s="251" t="str">
        <f t="shared" ref="J13:J38" si="17">CONCATENATE(C13,D13,E13)</f>
        <v>Guide Rail Bracket</v>
      </c>
      <c r="K13" s="327" t="s">
        <v>2661</v>
      </c>
      <c r="L13" s="327"/>
      <c r="M13" s="327" t="s">
        <v>2659</v>
      </c>
      <c r="N13" s="327"/>
      <c r="O13" s="249" t="s">
        <v>2642</v>
      </c>
      <c r="P13" s="328"/>
      <c r="Q13" s="329"/>
      <c r="R13" s="329"/>
      <c r="S13" s="329"/>
      <c r="T13" s="330"/>
      <c r="U13" s="331" t="str">
        <f>IF(H13="TE-F",IFERROR(VLOOKUP(物料汇总表!B13,参考表!A:D,3,FALSE),""),IF(H13="HP61",IFERROR(VLOOKUP(B13,参考表!T:V,3,FALSE),""),IF(OR(H13="RF1",H13="RF2"),IFERROR(VLOOKUP(B13,参考表!N:Q,4,FALSE),IFERROR(VLOOKUP(B13,发运层物料名称参考表!D:E,3,FALSE),"")),IFERROR(VLOOKUP(B13,发运层物料名称参考表!D:H,2,FALSE),IFERROR(VLOOKUP(B13,参考表!N:Q,4,FALSE),"")))))</f>
        <v>03001</v>
      </c>
      <c r="V13" s="331" t="s">
        <v>88</v>
      </c>
      <c r="W13" s="324" t="str">
        <f>IF(H13="TE-F",IFERROR(VLOOKUP(物料汇总表!B13,参考表!A:D,4,FALSE),""),IF(H13="HP61",IFERROR(VLOOKUP(B13,参考表!T:V,2,FALSE),""),IF(OR(H13="RF1",H13="RF2"),IFERROR(VLOOKUP(B13,参考表!N:Q,3,FALSE),IFERROR(VLOOKUP(B13,发运层物料名称参考表!D:G,4,FALSE),"")),IFERROR(VLOOKUP(B13,发运层物料名称参考表!D:H,4,FALSE),IFERROR(VLOOKUP(B13,参考表!N:Q,3,FALSE),"")))))</f>
        <v>A730</v>
      </c>
      <c r="X13" s="325"/>
      <c r="Y13" s="326"/>
      <c r="Z13" s="323" t="s">
        <v>2654</v>
      </c>
      <c r="AA13" s="331" t="str">
        <f t="shared" ref="AA13:AA38" si="18">IF(K13="","",IF(M13="","否","是"))</f>
        <v>是</v>
      </c>
      <c r="AB13" s="340" t="s">
        <v>98</v>
      </c>
      <c r="AD13" s="44" t="str">
        <f t="shared" si="1"/>
        <v/>
      </c>
      <c r="AE13" s="56"/>
      <c r="AF13" s="49"/>
      <c r="AG13" s="72" t="str">
        <f t="shared" si="2"/>
        <v/>
      </c>
      <c r="AH13" s="73" t="str">
        <f t="shared" si="3"/>
        <v/>
      </c>
      <c r="AI13" s="73" t="str">
        <f t="shared" si="4"/>
        <v/>
      </c>
      <c r="AJ13" s="73" t="str">
        <f t="shared" si="5"/>
        <v/>
      </c>
      <c r="AK13" s="73"/>
      <c r="AL13" s="73" t="str">
        <f t="shared" si="6"/>
        <v/>
      </c>
      <c r="AM13" s="73" t="str">
        <f t="shared" si="7"/>
        <v/>
      </c>
      <c r="AN13" s="74"/>
      <c r="AO13" s="47" t="str">
        <f t="shared" si="8"/>
        <v/>
      </c>
      <c r="AP13" s="73" t="str">
        <f t="shared" ref="AP13:AP38" si="19">IF($G13="","",IF($AA13="","",$AA13))</f>
        <v/>
      </c>
      <c r="AQ13" s="47" t="str">
        <f t="shared" si="9"/>
        <v/>
      </c>
      <c r="AR13" s="73" t="str">
        <f t="shared" ref="AR13:AR38" si="20">IF($G13="","",IF($U13="","",$U13))</f>
        <v/>
      </c>
      <c r="AS13" s="85"/>
      <c r="AT13" s="73" t="str">
        <f t="shared" ref="AT13:AT38" si="21">IF($G13="","",IF($W13="","",$W13))</f>
        <v/>
      </c>
      <c r="AU13" s="51" t="str">
        <f t="shared" si="10"/>
        <v/>
      </c>
      <c r="AV13" s="73" t="str">
        <f t="shared" ref="AV13:AV38" si="22">IF($G13="","",IF($Z13="","",$Z13))</f>
        <v/>
      </c>
      <c r="AW13" s="47" t="str">
        <f t="shared" si="11"/>
        <v/>
      </c>
      <c r="AX13" s="49"/>
      <c r="AY13" s="49"/>
      <c r="AZ13" s="267" t="str">
        <f t="shared" ref="AZ13:AZ38" si="23">IF(K13="","",H$6)</f>
        <v>CE67251-WL</v>
      </c>
      <c r="BA13" s="267" t="str">
        <f t="shared" ref="BA13:BA38" si="24">IF(K13="","",IF(A13="","",A13))</f>
        <v/>
      </c>
      <c r="BB13" s="93" t="str">
        <f t="shared" ref="BB13:BB38" si="25">IF(K13="","",K13)</f>
        <v>330166953</v>
      </c>
      <c r="BC13" s="94" t="str">
        <f t="shared" ref="BC13:BC38" si="26">IF(M13="","",M13)</f>
        <v>D300094391</v>
      </c>
      <c r="BD13" s="95"/>
      <c r="BE13" s="96" t="str">
        <f t="shared" ref="BE13:BE38" si="27">IF(I13="","",I13)</f>
        <v>导轨支架</v>
      </c>
      <c r="BF13" s="94" t="str">
        <f t="shared" ref="BF13:BF38" si="28">IF(J13="","",J13)</f>
        <v>Guide Rail Bracket</v>
      </c>
      <c r="BG13" s="97"/>
      <c r="BH13" s="97"/>
      <c r="BI13" s="98"/>
      <c r="BJ13" s="97"/>
      <c r="BK13" s="97" t="str">
        <f t="shared" ref="BK13:BK38" si="29">IF(Z13="","",Z13)</f>
        <v>PC</v>
      </c>
      <c r="BL13" s="97" t="str">
        <f t="shared" ref="BL13:BL38" si="30">IF(P13="","",P13)</f>
        <v/>
      </c>
      <c r="BM13" s="266" t="str">
        <f t="shared" ref="BM13:BM38" si="31">IF(W13="","",W13)</f>
        <v>A730</v>
      </c>
      <c r="BN13" s="263"/>
      <c r="BO13" s="266" t="str">
        <f t="shared" ref="BO13:BO38" si="32">IF(U13="","",U13)</f>
        <v>03001</v>
      </c>
      <c r="BP13" s="264"/>
      <c r="BQ13" s="264"/>
    </row>
    <row r="14" spans="1:69" s="52" customFormat="1" ht="16.05" customHeight="1">
      <c r="A14" s="237"/>
      <c r="B14" s="237" t="s">
        <v>2662</v>
      </c>
      <c r="C14" s="254" t="str">
        <f>IF(B14="","",IFERROR(VLOOKUP(物料汇总表!B14,参考表!A:B,2,FALSE),IFERROR(INDEX('[1]Part Name Dictionary'!$C$1:$C$5000,MATCH(B14,'[1]Part Name Dictionary'!$B$1:$B$5000,0)),IFERROR(VLOOKUP(B14,参考表!N:O,2,FALSE),""))))</f>
        <v>CWT Filler</v>
      </c>
      <c r="D14" s="254" t="str">
        <f t="shared" si="15"/>
        <v xml:space="preserve"> </v>
      </c>
      <c r="E14" s="237" t="s">
        <v>2667</v>
      </c>
      <c r="F14" s="235" t="str">
        <f>IF(B14="","",IFERROR(INDEX('[1]Part Name Dictionary'!$V$1:$V$5000,MATCH(B14,'[1]Part Name Dictionary'!$B$1:$B$5000,0)),""))</f>
        <v>对重块 Weight-Length(mm)-Material</v>
      </c>
      <c r="G14" s="246"/>
      <c r="H14" s="247" t="s">
        <v>1782</v>
      </c>
      <c r="I14" s="250" t="str">
        <f t="shared" si="16"/>
        <v>对重块 26kg-L585-Compound</v>
      </c>
      <c r="J14" s="251" t="str">
        <f t="shared" si="17"/>
        <v>CWT Filler 26kg-L585-Compound</v>
      </c>
      <c r="K14" s="327" t="s">
        <v>2664</v>
      </c>
      <c r="L14" s="327"/>
      <c r="M14" s="327" t="s">
        <v>2666</v>
      </c>
      <c r="N14" s="327"/>
      <c r="O14" s="249" t="s">
        <v>2642</v>
      </c>
      <c r="P14" s="328"/>
      <c r="Q14" s="329"/>
      <c r="R14" s="329"/>
      <c r="S14" s="329"/>
      <c r="T14" s="330"/>
      <c r="U14" s="331">
        <f>IF(H14="TE-F",IFERROR(VLOOKUP(物料汇总表!B14,参考表!A:D,3,FALSE),""),IF(H14="HP61",IFERROR(VLOOKUP(B14,参考表!T:V,3,FALSE),""),IF(OR(H14="RF1",H14="RF2"),IFERROR(VLOOKUP(B14,参考表!N:Q,4,FALSE),IFERROR(VLOOKUP(B14,发运层物料名称参考表!D:E,3,FALSE),"")),IFERROR(VLOOKUP(B14,发运层物料名称参考表!D:H,2,FALSE),IFERROR(VLOOKUP(B14,参考表!N:Q,4,FALSE),"")))))</f>
        <v>14001</v>
      </c>
      <c r="V14" s="331" t="s">
        <v>88</v>
      </c>
      <c r="W14" s="324" t="str">
        <f>IF(H14="TE-F",IFERROR(VLOOKUP(物料汇总表!B14,参考表!A:D,4,FALSE),""),IF(H14="HP61",IFERROR(VLOOKUP(B14,参考表!T:V,2,FALSE),""),IF(OR(H14="RF1",H14="RF2"),IFERROR(VLOOKUP(B14,参考表!N:Q,3,FALSE),IFERROR(VLOOKUP(B14,发运层物料名称参考表!D:G,4,FALSE),"")),IFERROR(VLOOKUP(B14,发运层物料名称参考表!D:H,4,FALSE),IFERROR(VLOOKUP(B14,参考表!N:Q,3,FALSE),"")))))</f>
        <v>A760</v>
      </c>
      <c r="X14" s="325"/>
      <c r="Y14" s="326"/>
      <c r="Z14" s="323" t="s">
        <v>2654</v>
      </c>
      <c r="AA14" s="331" t="str">
        <f t="shared" si="18"/>
        <v>是</v>
      </c>
      <c r="AB14" s="340" t="s">
        <v>98</v>
      </c>
      <c r="AD14" s="44" t="str">
        <f t="shared" si="1"/>
        <v/>
      </c>
      <c r="AE14" s="56"/>
      <c r="AF14" s="49"/>
      <c r="AG14" s="72" t="str">
        <f t="shared" si="2"/>
        <v/>
      </c>
      <c r="AH14" s="73" t="str">
        <f t="shared" si="3"/>
        <v/>
      </c>
      <c r="AI14" s="73" t="str">
        <f t="shared" si="4"/>
        <v/>
      </c>
      <c r="AJ14" s="73" t="str">
        <f t="shared" si="5"/>
        <v/>
      </c>
      <c r="AK14" s="73"/>
      <c r="AL14" s="73" t="str">
        <f t="shared" si="6"/>
        <v/>
      </c>
      <c r="AM14" s="73" t="str">
        <f t="shared" si="7"/>
        <v/>
      </c>
      <c r="AN14" s="74"/>
      <c r="AO14" s="47" t="str">
        <f t="shared" si="8"/>
        <v/>
      </c>
      <c r="AP14" s="73" t="str">
        <f t="shared" si="19"/>
        <v/>
      </c>
      <c r="AQ14" s="47" t="str">
        <f t="shared" si="9"/>
        <v/>
      </c>
      <c r="AR14" s="73" t="str">
        <f t="shared" si="20"/>
        <v/>
      </c>
      <c r="AS14" s="85"/>
      <c r="AT14" s="73" t="str">
        <f t="shared" si="21"/>
        <v/>
      </c>
      <c r="AU14" s="51" t="str">
        <f t="shared" si="10"/>
        <v/>
      </c>
      <c r="AV14" s="73" t="str">
        <f t="shared" si="22"/>
        <v/>
      </c>
      <c r="AW14" s="47" t="str">
        <f t="shared" si="11"/>
        <v/>
      </c>
      <c r="AX14" s="49"/>
      <c r="AY14" s="49"/>
      <c r="AZ14" s="267" t="str">
        <f t="shared" si="23"/>
        <v>CE67251-WL</v>
      </c>
      <c r="BA14" s="267" t="str">
        <f t="shared" si="24"/>
        <v/>
      </c>
      <c r="BB14" s="93" t="str">
        <f t="shared" si="25"/>
        <v>330166946</v>
      </c>
      <c r="BC14" s="94" t="str">
        <f t="shared" si="26"/>
        <v>D300094385</v>
      </c>
      <c r="BD14" s="95"/>
      <c r="BE14" s="96" t="str">
        <f t="shared" si="27"/>
        <v>对重块 26kg-L585-Compound</v>
      </c>
      <c r="BF14" s="94" t="str">
        <f t="shared" si="28"/>
        <v>CWT Filler 26kg-L585-Compound</v>
      </c>
      <c r="BG14" s="97"/>
      <c r="BH14" s="97"/>
      <c r="BI14" s="98"/>
      <c r="BJ14" s="97"/>
      <c r="BK14" s="97" t="str">
        <f t="shared" si="29"/>
        <v>PC</v>
      </c>
      <c r="BL14" s="97" t="str">
        <f t="shared" si="30"/>
        <v/>
      </c>
      <c r="BM14" s="266" t="str">
        <f t="shared" si="31"/>
        <v>A760</v>
      </c>
      <c r="BN14" s="263"/>
      <c r="BO14" s="266">
        <f t="shared" si="32"/>
        <v>14001</v>
      </c>
      <c r="BP14" s="264"/>
      <c r="BQ14" s="264"/>
    </row>
    <row r="15" spans="1:69" s="52" customFormat="1" ht="16.05" customHeight="1">
      <c r="A15" s="237"/>
      <c r="B15" s="237" t="s">
        <v>87</v>
      </c>
      <c r="C15" s="254" t="str">
        <f>IF(B15="","",IFERROR(VLOOKUP(物料汇总表!B15,参考表!A:B,2,FALSE),IFERROR(INDEX('[1]Part Name Dictionary'!$C$1:$C$5000,MATCH(B15,'[1]Part Name Dictionary'!$B$1:$B$5000,0)),IFERROR(VLOOKUP(B15,参考表!N:O,2,FALSE),""))))</f>
        <v>CWT Filler</v>
      </c>
      <c r="D15" s="254" t="str">
        <f t="shared" si="15"/>
        <v xml:space="preserve"> </v>
      </c>
      <c r="E15" s="237" t="s">
        <v>2668</v>
      </c>
      <c r="F15" s="235" t="str">
        <f>IF(B15="","",IFERROR(INDEX('[1]Part Name Dictionary'!$V$1:$V$5000,MATCH(B15,'[1]Part Name Dictionary'!$B$1:$B$5000,0)),""))</f>
        <v>对重块 Weight-Length(mm)-Material</v>
      </c>
      <c r="G15" s="246"/>
      <c r="H15" s="247" t="s">
        <v>1888</v>
      </c>
      <c r="I15" s="250" t="str">
        <f t="shared" si="16"/>
        <v>对重块 16.5kg-545-HT100</v>
      </c>
      <c r="J15" s="251" t="str">
        <f t="shared" si="17"/>
        <v>CWT Filler 16.5kg-545-HT100</v>
      </c>
      <c r="K15" s="327" t="s">
        <v>2670</v>
      </c>
      <c r="L15" s="327"/>
      <c r="M15" s="327" t="s">
        <v>2672</v>
      </c>
      <c r="N15" s="327"/>
      <c r="O15" s="249" t="s">
        <v>2642</v>
      </c>
      <c r="P15" s="328"/>
      <c r="Q15" s="329"/>
      <c r="R15" s="329"/>
      <c r="S15" s="329"/>
      <c r="T15" s="330"/>
      <c r="U15" s="331">
        <f>IF(H15="TE-F",IFERROR(VLOOKUP(物料汇总表!B15,参考表!A:D,3,FALSE),""),IF(H15="HP61",IFERROR(VLOOKUP(B15,参考表!T:V,3,FALSE),""),IF(OR(H15="RF1",H15="RF2"),IFERROR(VLOOKUP(B15,参考表!N:Q,4,FALSE),IFERROR(VLOOKUP(B15,发运层物料名称参考表!D:E,3,FALSE),"")),IFERROR(VLOOKUP(B15,发运层物料名称参考表!D:H,2,FALSE),IFERROR(VLOOKUP(B15,参考表!N:Q,4,FALSE),"")))))</f>
        <v>14001</v>
      </c>
      <c r="V15" s="331" t="s">
        <v>88</v>
      </c>
      <c r="W15" s="324" t="str">
        <f>IF(H15="TE-F",IFERROR(VLOOKUP(物料汇总表!B15,参考表!A:D,4,FALSE),""),IF(H15="HP61",IFERROR(VLOOKUP(B15,参考表!T:V,2,FALSE),""),IF(OR(H15="RF1",H15="RF2"),IFERROR(VLOOKUP(B15,参考表!N:Q,3,FALSE),IFERROR(VLOOKUP(B15,发运层物料名称参考表!D:G,4,FALSE),"")),IFERROR(VLOOKUP(B15,发运层物料名称参考表!D:H,4,FALSE),IFERROR(VLOOKUP(B15,参考表!N:Q,3,FALSE),"")))))</f>
        <v>A760</v>
      </c>
      <c r="X15" s="325"/>
      <c r="Y15" s="326"/>
      <c r="Z15" s="323" t="s">
        <v>2654</v>
      </c>
      <c r="AA15" s="331" t="str">
        <f t="shared" si="18"/>
        <v>是</v>
      </c>
      <c r="AB15" s="340" t="s">
        <v>98</v>
      </c>
      <c r="AD15" s="44" t="str">
        <f t="shared" si="1"/>
        <v/>
      </c>
      <c r="AE15" s="56"/>
      <c r="AF15" s="49"/>
      <c r="AG15" s="72" t="str">
        <f t="shared" si="2"/>
        <v/>
      </c>
      <c r="AH15" s="73" t="str">
        <f t="shared" si="3"/>
        <v/>
      </c>
      <c r="AI15" s="73" t="str">
        <f t="shared" si="4"/>
        <v/>
      </c>
      <c r="AJ15" s="73" t="str">
        <f t="shared" si="5"/>
        <v/>
      </c>
      <c r="AK15" s="73"/>
      <c r="AL15" s="73" t="str">
        <f t="shared" si="6"/>
        <v/>
      </c>
      <c r="AM15" s="73" t="str">
        <f t="shared" si="7"/>
        <v/>
      </c>
      <c r="AN15" s="74"/>
      <c r="AO15" s="47" t="str">
        <f t="shared" si="8"/>
        <v/>
      </c>
      <c r="AP15" s="73" t="str">
        <f t="shared" si="19"/>
        <v/>
      </c>
      <c r="AQ15" s="47" t="str">
        <f t="shared" si="9"/>
        <v/>
      </c>
      <c r="AR15" s="73" t="str">
        <f t="shared" si="20"/>
        <v/>
      </c>
      <c r="AS15" s="85"/>
      <c r="AT15" s="73" t="str">
        <f t="shared" si="21"/>
        <v/>
      </c>
      <c r="AU15" s="51" t="str">
        <f t="shared" si="10"/>
        <v/>
      </c>
      <c r="AV15" s="73" t="str">
        <f t="shared" si="22"/>
        <v/>
      </c>
      <c r="AW15" s="47" t="str">
        <f t="shared" si="11"/>
        <v/>
      </c>
      <c r="AX15" s="49"/>
      <c r="AY15" s="49"/>
      <c r="AZ15" s="267" t="str">
        <f t="shared" si="23"/>
        <v>CE67251-WL</v>
      </c>
      <c r="BA15" s="267" t="str">
        <f t="shared" si="24"/>
        <v/>
      </c>
      <c r="BB15" s="93" t="str">
        <f t="shared" si="25"/>
        <v>330166947</v>
      </c>
      <c r="BC15" s="94" t="str">
        <f t="shared" si="26"/>
        <v>D300094386</v>
      </c>
      <c r="BD15" s="95"/>
      <c r="BE15" s="96" t="str">
        <f t="shared" si="27"/>
        <v>对重块 16.5kg-545-HT100</v>
      </c>
      <c r="BF15" s="94" t="str">
        <f t="shared" si="28"/>
        <v>CWT Filler 16.5kg-545-HT100</v>
      </c>
      <c r="BG15" s="97"/>
      <c r="BH15" s="97"/>
      <c r="BI15" s="98"/>
      <c r="BJ15" s="97"/>
      <c r="BK15" s="97" t="str">
        <f t="shared" si="29"/>
        <v>PC</v>
      </c>
      <c r="BL15" s="97" t="str">
        <f t="shared" si="30"/>
        <v/>
      </c>
      <c r="BM15" s="266" t="str">
        <f t="shared" si="31"/>
        <v>A760</v>
      </c>
      <c r="BN15" s="263"/>
      <c r="BO15" s="266">
        <f t="shared" si="32"/>
        <v>14001</v>
      </c>
      <c r="BP15" s="264"/>
      <c r="BQ15" s="264"/>
    </row>
    <row r="16" spans="1:69" s="52" customFormat="1" ht="16.05" customHeight="1">
      <c r="A16" s="237"/>
      <c r="B16" s="237" t="s">
        <v>2673</v>
      </c>
      <c r="C16" s="254" t="str">
        <f>IF(B16="","",IFERROR(VLOOKUP(物料汇总表!B16,参考表!A:B,2,FALSE),IFERROR(INDEX('[1]Part Name Dictionary'!$C$1:$C$5000,MATCH(B16,'[1]Part Name Dictionary'!$B$1:$B$5000,0)),IFERROR(VLOOKUP(B16,参考表!N:O,2,FALSE),""))))</f>
        <v>CWT Frame Assy</v>
      </c>
      <c r="D16" s="254" t="str">
        <f t="shared" si="15"/>
        <v/>
      </c>
      <c r="E16" s="237"/>
      <c r="F16" s="235" t="str">
        <f>IF(B16="","",IFERROR(INDEX('[1]Part Name Dictionary'!$V$1:$V$5000,MATCH(B16,'[1]Part Name Dictionary'!$B$1:$B$5000,0)),""))</f>
        <v>对重框架组件 Traction Ratio-Cwt Gauge(mm)-Frame Thickness(mm)</v>
      </c>
      <c r="G16" s="246"/>
      <c r="H16" s="247"/>
      <c r="I16" s="250" t="str">
        <f t="shared" si="16"/>
        <v>对重框架组件</v>
      </c>
      <c r="J16" s="251" t="str">
        <f t="shared" si="17"/>
        <v>CWT Frame Assy</v>
      </c>
      <c r="K16" s="327" t="s">
        <v>2675</v>
      </c>
      <c r="L16" s="327"/>
      <c r="M16" s="327" t="s">
        <v>2677</v>
      </c>
      <c r="N16" s="327"/>
      <c r="O16" s="249" t="s">
        <v>2642</v>
      </c>
      <c r="P16" s="328"/>
      <c r="Q16" s="329"/>
      <c r="R16" s="329"/>
      <c r="S16" s="329"/>
      <c r="T16" s="330"/>
      <c r="U16" s="331" t="str">
        <f>IF(H16="TE-F",IFERROR(VLOOKUP(物料汇总表!B16,参考表!A:D,3,FALSE),""),IF(H16="HP61",IFERROR(VLOOKUP(B16,参考表!T:V,3,FALSE),""),IF(OR(H16="RF1",H16="RF2"),IFERROR(VLOOKUP(B16,参考表!N:Q,4,FALSE),IFERROR(VLOOKUP(B16,发运层物料名称参考表!D:E,3,FALSE),"")),IFERROR(VLOOKUP(B16,发运层物料名称参考表!D:H,2,FALSE),IFERROR(VLOOKUP(B16,参考表!N:Q,4,FALSE),"")))))</f>
        <v>13000</v>
      </c>
      <c r="V16" s="331" t="s">
        <v>88</v>
      </c>
      <c r="W16" s="324" t="str">
        <f>IF(H16="TE-F",IFERROR(VLOOKUP(物料汇总表!B16,参考表!A:D,4,FALSE),""),IF(H16="HP61",IFERROR(VLOOKUP(B16,参考表!T:V,2,FALSE),""),IF(OR(H16="RF1",H16="RF2"),IFERROR(VLOOKUP(B16,参考表!N:Q,3,FALSE),IFERROR(VLOOKUP(B16,发运层物料名称参考表!D:G,4,FALSE),"")),IFERROR(VLOOKUP(B16,发运层物料名称参考表!D:H,4,FALSE),IFERROR(VLOOKUP(B16,参考表!N:Q,3,FALSE),"")))))</f>
        <v>A360</v>
      </c>
      <c r="X16" s="325"/>
      <c r="Y16" s="326"/>
      <c r="Z16" s="323" t="s">
        <v>2654</v>
      </c>
      <c r="AA16" s="331" t="str">
        <f t="shared" si="18"/>
        <v>是</v>
      </c>
      <c r="AB16" s="340" t="s">
        <v>98</v>
      </c>
      <c r="AD16" s="44" t="str">
        <f t="shared" si="1"/>
        <v/>
      </c>
      <c r="AE16" s="56"/>
      <c r="AF16" s="49"/>
      <c r="AG16" s="72" t="str">
        <f t="shared" si="2"/>
        <v/>
      </c>
      <c r="AH16" s="73" t="str">
        <f t="shared" si="3"/>
        <v/>
      </c>
      <c r="AI16" s="73" t="str">
        <f t="shared" si="4"/>
        <v/>
      </c>
      <c r="AJ16" s="73" t="str">
        <f t="shared" si="5"/>
        <v/>
      </c>
      <c r="AK16" s="73"/>
      <c r="AL16" s="73" t="str">
        <f t="shared" si="6"/>
        <v/>
      </c>
      <c r="AM16" s="73" t="str">
        <f t="shared" si="7"/>
        <v/>
      </c>
      <c r="AN16" s="74"/>
      <c r="AO16" s="47" t="str">
        <f t="shared" si="8"/>
        <v/>
      </c>
      <c r="AP16" s="73" t="str">
        <f t="shared" si="19"/>
        <v/>
      </c>
      <c r="AQ16" s="47" t="str">
        <f t="shared" si="9"/>
        <v/>
      </c>
      <c r="AR16" s="73" t="str">
        <f t="shared" si="20"/>
        <v/>
      </c>
      <c r="AS16" s="85"/>
      <c r="AT16" s="73" t="str">
        <f t="shared" si="21"/>
        <v/>
      </c>
      <c r="AU16" s="51" t="str">
        <f t="shared" si="10"/>
        <v/>
      </c>
      <c r="AV16" s="73" t="str">
        <f t="shared" si="22"/>
        <v/>
      </c>
      <c r="AW16" s="47" t="str">
        <f t="shared" si="11"/>
        <v/>
      </c>
      <c r="AX16" s="49"/>
      <c r="AY16" s="49"/>
      <c r="AZ16" s="267" t="str">
        <f t="shared" si="23"/>
        <v>CE67251-WL</v>
      </c>
      <c r="BA16" s="267" t="str">
        <f t="shared" si="24"/>
        <v/>
      </c>
      <c r="BB16" s="93" t="str">
        <f t="shared" si="25"/>
        <v>330166954</v>
      </c>
      <c r="BC16" s="94" t="str">
        <f t="shared" si="26"/>
        <v>D300094393</v>
      </c>
      <c r="BD16" s="95"/>
      <c r="BE16" s="96" t="str">
        <f t="shared" si="27"/>
        <v>对重框架组件</v>
      </c>
      <c r="BF16" s="94" t="str">
        <f t="shared" si="28"/>
        <v>CWT Frame Assy</v>
      </c>
      <c r="BG16" s="97"/>
      <c r="BH16" s="97"/>
      <c r="BI16" s="98"/>
      <c r="BJ16" s="97"/>
      <c r="BK16" s="97" t="str">
        <f t="shared" si="29"/>
        <v>PC</v>
      </c>
      <c r="BL16" s="97" t="str">
        <f t="shared" si="30"/>
        <v/>
      </c>
      <c r="BM16" s="266" t="str">
        <f t="shared" si="31"/>
        <v>A360</v>
      </c>
      <c r="BN16" s="263"/>
      <c r="BO16" s="266" t="str">
        <f t="shared" si="32"/>
        <v>13000</v>
      </c>
      <c r="BP16" s="264"/>
      <c r="BQ16" s="264"/>
    </row>
    <row r="17" spans="1:69" s="52" customFormat="1" ht="16.05" customHeight="1">
      <c r="A17" s="237"/>
      <c r="B17" s="237"/>
      <c r="C17" s="254"/>
      <c r="D17" s="254" t="str">
        <f t="shared" si="15"/>
        <v/>
      </c>
      <c r="E17" s="237"/>
      <c r="F17" s="235" t="str">
        <f>IF(B17="","",IFERROR(INDEX('[1]Part Name Dictionary'!$V$1:$V$5000,MATCH(B17,'[1]Part Name Dictionary'!$B$1:$B$5000,0)),""))</f>
        <v/>
      </c>
      <c r="G17" s="246"/>
      <c r="H17" s="247" t="s">
        <v>1782</v>
      </c>
      <c r="I17" s="250" t="str">
        <f t="shared" si="16"/>
        <v/>
      </c>
      <c r="J17" s="251" t="str">
        <f t="shared" si="17"/>
        <v/>
      </c>
      <c r="K17" s="327"/>
      <c r="L17" s="327"/>
      <c r="M17" s="327"/>
      <c r="N17" s="327"/>
      <c r="O17" s="249"/>
      <c r="P17" s="328"/>
      <c r="Q17" s="329"/>
      <c r="R17" s="329"/>
      <c r="S17" s="329"/>
      <c r="T17" s="330"/>
      <c r="U17" s="331" t="str">
        <f>IF(H17="TE-F",IFERROR(VLOOKUP(物料汇总表!B17,参考表!A:D,3,FALSE),""),IF(H17="HP61",IFERROR(VLOOKUP(B17,参考表!T:V,3,FALSE),""),IF(OR(H17="RF1",H17="RF2"),IFERROR(VLOOKUP(B17,参考表!N:Q,4,FALSE),IFERROR(VLOOKUP(B17,发运层物料名称参考表!D:E,3,FALSE),"")),IFERROR(VLOOKUP(B17,发运层物料名称参考表!D:H,2,FALSE),IFERROR(VLOOKUP(B17,参考表!N:Q,4,FALSE),"")))))</f>
        <v/>
      </c>
      <c r="V17" s="331" t="s">
        <v>88</v>
      </c>
      <c r="W17" s="324" t="str">
        <f>IF(H17="TE-F",IFERROR(VLOOKUP(物料汇总表!B17,参考表!A:D,4,FALSE),""),IF(H17="HP61",IFERROR(VLOOKUP(B17,参考表!T:V,2,FALSE),""),IF(OR(H17="RF1",H17="RF2"),IFERROR(VLOOKUP(B17,参考表!N:Q,3,FALSE),IFERROR(VLOOKUP(B17,发运层物料名称参考表!D:G,4,FALSE),"")),IFERROR(VLOOKUP(B17,发运层物料名称参考表!D:H,4,FALSE),IFERROR(VLOOKUP(B17,参考表!N:Q,3,FALSE),"")))))</f>
        <v/>
      </c>
      <c r="X17" s="325"/>
      <c r="Y17" s="326"/>
      <c r="Z17" s="292"/>
      <c r="AA17" s="331" t="str">
        <f t="shared" si="18"/>
        <v/>
      </c>
      <c r="AB17" s="340" t="s">
        <v>98</v>
      </c>
      <c r="AD17" s="44" t="str">
        <f t="shared" si="1"/>
        <v/>
      </c>
      <c r="AE17" s="56"/>
      <c r="AF17" s="49"/>
      <c r="AG17" s="72" t="str">
        <f t="shared" si="2"/>
        <v/>
      </c>
      <c r="AH17" s="73" t="str">
        <f t="shared" si="3"/>
        <v/>
      </c>
      <c r="AI17" s="73" t="str">
        <f t="shared" si="4"/>
        <v/>
      </c>
      <c r="AJ17" s="73" t="str">
        <f t="shared" si="5"/>
        <v/>
      </c>
      <c r="AK17" s="73"/>
      <c r="AL17" s="73" t="str">
        <f t="shared" si="6"/>
        <v/>
      </c>
      <c r="AM17" s="73" t="str">
        <f t="shared" si="7"/>
        <v/>
      </c>
      <c r="AN17" s="74"/>
      <c r="AO17" s="47" t="str">
        <f t="shared" si="8"/>
        <v/>
      </c>
      <c r="AP17" s="73" t="str">
        <f t="shared" si="19"/>
        <v/>
      </c>
      <c r="AQ17" s="47" t="str">
        <f t="shared" si="9"/>
        <v/>
      </c>
      <c r="AR17" s="73" t="str">
        <f t="shared" si="20"/>
        <v/>
      </c>
      <c r="AS17" s="85"/>
      <c r="AT17" s="73" t="str">
        <f t="shared" si="21"/>
        <v/>
      </c>
      <c r="AU17" s="51" t="str">
        <f t="shared" si="10"/>
        <v/>
      </c>
      <c r="AV17" s="73" t="str">
        <f t="shared" si="22"/>
        <v/>
      </c>
      <c r="AW17" s="47" t="str">
        <f t="shared" si="11"/>
        <v/>
      </c>
      <c r="AX17" s="49"/>
      <c r="AY17" s="49"/>
      <c r="AZ17" s="267" t="str">
        <f t="shared" si="23"/>
        <v/>
      </c>
      <c r="BA17" s="267" t="str">
        <f t="shared" si="24"/>
        <v/>
      </c>
      <c r="BB17" s="93" t="str">
        <f t="shared" si="25"/>
        <v/>
      </c>
      <c r="BC17" s="94" t="str">
        <f t="shared" si="26"/>
        <v/>
      </c>
      <c r="BD17" s="95"/>
      <c r="BE17" s="96" t="str">
        <f t="shared" si="27"/>
        <v/>
      </c>
      <c r="BF17" s="94" t="str">
        <f t="shared" si="28"/>
        <v/>
      </c>
      <c r="BG17" s="97"/>
      <c r="BH17" s="97"/>
      <c r="BI17" s="98"/>
      <c r="BJ17" s="97"/>
      <c r="BK17" s="97" t="str">
        <f t="shared" si="29"/>
        <v/>
      </c>
      <c r="BL17" s="97" t="str">
        <f t="shared" si="30"/>
        <v/>
      </c>
      <c r="BM17" s="266" t="str">
        <f t="shared" si="31"/>
        <v/>
      </c>
      <c r="BN17" s="263"/>
      <c r="BO17" s="266" t="str">
        <f t="shared" si="32"/>
        <v/>
      </c>
      <c r="BP17" s="264"/>
      <c r="BQ17" s="264"/>
    </row>
    <row r="18" spans="1:69" s="52" customFormat="1" ht="16.05" customHeight="1">
      <c r="A18" s="237"/>
      <c r="B18" s="237"/>
      <c r="C18" s="254" t="str">
        <f>IF(B18="","",IFERROR(VLOOKUP(物料汇总表!B18,参考表!A:B,2,FALSE),IFERROR(INDEX('[1]Part Name Dictionary'!$C$1:$C$5000,MATCH(B18,'[1]Part Name Dictionary'!$B$1:$B$5000,0)),IFERROR(VLOOKUP(B18,参考表!N:O,2,FALSE),""))))</f>
        <v/>
      </c>
      <c r="D18" s="254" t="str">
        <f t="shared" si="15"/>
        <v/>
      </c>
      <c r="E18" s="237"/>
      <c r="F18" s="235" t="str">
        <f>IF(B18="","",IFERROR(INDEX('[1]Part Name Dictionary'!$V$1:$V$5000,MATCH(B18,'[1]Part Name Dictionary'!$B$1:$B$5000,0)),""))</f>
        <v/>
      </c>
      <c r="G18" s="246"/>
      <c r="H18" s="247"/>
      <c r="I18" s="250" t="str">
        <f t="shared" si="16"/>
        <v/>
      </c>
      <c r="J18" s="251" t="str">
        <f t="shared" si="17"/>
        <v/>
      </c>
      <c r="K18" s="327"/>
      <c r="L18" s="327"/>
      <c r="M18" s="327"/>
      <c r="N18" s="327"/>
      <c r="O18" s="249"/>
      <c r="P18" s="328"/>
      <c r="Q18" s="329"/>
      <c r="R18" s="329"/>
      <c r="S18" s="329"/>
      <c r="T18" s="330"/>
      <c r="U18" s="331" t="str">
        <f>IF(H18="TE-F",IFERROR(VLOOKUP(物料汇总表!B18,参考表!A:D,3,FALSE),""),IF(H18="HP61",IFERROR(VLOOKUP(B18,参考表!T:V,3,FALSE),""),IF(OR(H18="RF1",H18="RF2"),IFERROR(VLOOKUP(B18,参考表!N:Q,4,FALSE),IFERROR(VLOOKUP(B18,发运层物料名称参考表!D:E,3,FALSE),"")),IFERROR(VLOOKUP(B18,发运层物料名称参考表!D:H,2,FALSE),IFERROR(VLOOKUP(B18,参考表!N:Q,4,FALSE),"")))))</f>
        <v/>
      </c>
      <c r="V18" s="331" t="s">
        <v>88</v>
      </c>
      <c r="W18" s="324" t="str">
        <f>IF(H18="TE-F",IFERROR(VLOOKUP(物料汇总表!B18,参考表!A:D,4,FALSE),""),IF(H18="HP61",IFERROR(VLOOKUP(B18,参考表!T:V,2,FALSE),""),IF(OR(H18="RF1",H18="RF2"),IFERROR(VLOOKUP(B18,参考表!N:Q,3,FALSE),IFERROR(VLOOKUP(B18,发运层物料名称参考表!D:G,4,FALSE),"")),IFERROR(VLOOKUP(B18,发运层物料名称参考表!D:H,4,FALSE),IFERROR(VLOOKUP(B18,参考表!N:Q,3,FALSE),"")))))</f>
        <v/>
      </c>
      <c r="X18" s="325"/>
      <c r="Y18" s="326"/>
      <c r="Z18" s="292"/>
      <c r="AA18" s="331" t="str">
        <f t="shared" si="18"/>
        <v/>
      </c>
      <c r="AB18" s="340" t="s">
        <v>98</v>
      </c>
      <c r="AD18" s="44" t="str">
        <f t="shared" si="1"/>
        <v/>
      </c>
      <c r="AE18" s="56"/>
      <c r="AF18" s="49"/>
      <c r="AG18" s="72" t="str">
        <f t="shared" si="2"/>
        <v/>
      </c>
      <c r="AH18" s="73" t="str">
        <f t="shared" si="3"/>
        <v/>
      </c>
      <c r="AI18" s="73" t="str">
        <f t="shared" si="4"/>
        <v/>
      </c>
      <c r="AJ18" s="73" t="str">
        <f t="shared" si="5"/>
        <v/>
      </c>
      <c r="AK18" s="73"/>
      <c r="AL18" s="73" t="str">
        <f t="shared" si="6"/>
        <v/>
      </c>
      <c r="AM18" s="73" t="str">
        <f t="shared" si="7"/>
        <v/>
      </c>
      <c r="AN18" s="74"/>
      <c r="AO18" s="47" t="str">
        <f t="shared" si="8"/>
        <v/>
      </c>
      <c r="AP18" s="73" t="str">
        <f t="shared" si="19"/>
        <v/>
      </c>
      <c r="AQ18" s="47" t="str">
        <f t="shared" si="9"/>
        <v/>
      </c>
      <c r="AR18" s="73" t="str">
        <f t="shared" si="20"/>
        <v/>
      </c>
      <c r="AS18" s="85"/>
      <c r="AT18" s="73" t="str">
        <f t="shared" si="21"/>
        <v/>
      </c>
      <c r="AU18" s="51" t="str">
        <f t="shared" si="10"/>
        <v/>
      </c>
      <c r="AV18" s="73" t="str">
        <f t="shared" si="22"/>
        <v/>
      </c>
      <c r="AW18" s="47" t="str">
        <f t="shared" si="11"/>
        <v/>
      </c>
      <c r="AX18" s="49"/>
      <c r="AY18" s="49"/>
      <c r="AZ18" s="267" t="str">
        <f t="shared" si="23"/>
        <v/>
      </c>
      <c r="BA18" s="267" t="str">
        <f t="shared" si="24"/>
        <v/>
      </c>
      <c r="BB18" s="93" t="str">
        <f t="shared" si="25"/>
        <v/>
      </c>
      <c r="BC18" s="94" t="str">
        <f t="shared" si="26"/>
        <v/>
      </c>
      <c r="BD18" s="95"/>
      <c r="BE18" s="96" t="str">
        <f t="shared" si="27"/>
        <v/>
      </c>
      <c r="BF18" s="94" t="str">
        <f t="shared" si="28"/>
        <v/>
      </c>
      <c r="BG18" s="97"/>
      <c r="BH18" s="97"/>
      <c r="BI18" s="98"/>
      <c r="BJ18" s="97"/>
      <c r="BK18" s="97" t="str">
        <f t="shared" si="29"/>
        <v/>
      </c>
      <c r="BL18" s="97" t="str">
        <f t="shared" si="30"/>
        <v/>
      </c>
      <c r="BM18" s="266" t="str">
        <f t="shared" si="31"/>
        <v/>
      </c>
      <c r="BN18" s="263"/>
      <c r="BO18" s="266" t="str">
        <f t="shared" si="32"/>
        <v/>
      </c>
      <c r="BP18" s="264"/>
      <c r="BQ18" s="264"/>
    </row>
    <row r="19" spans="1:69" s="52" customFormat="1" ht="16.05" customHeight="1">
      <c r="A19" s="237"/>
      <c r="B19" s="237"/>
      <c r="C19" s="254" t="str">
        <f>IF(B19="","",IFERROR(VLOOKUP(物料汇总表!B19,参考表!A:B,2,FALSE),IFERROR(INDEX('[1]Part Name Dictionary'!$C$1:$C$5000,MATCH(B19,'[1]Part Name Dictionary'!$B$1:$B$5000,0)),IFERROR(VLOOKUP(B19,参考表!N:O,2,FALSE),""))))</f>
        <v/>
      </c>
      <c r="D19" s="254" t="str">
        <f t="shared" si="15"/>
        <v/>
      </c>
      <c r="E19" s="237"/>
      <c r="F19" s="235" t="str">
        <f>IF(B19="","",IFERROR(INDEX('[1]Part Name Dictionary'!$V$1:$V$5000,MATCH(B19,'[1]Part Name Dictionary'!$B$1:$B$5000,0)),""))</f>
        <v/>
      </c>
      <c r="G19" s="246"/>
      <c r="H19" s="247"/>
      <c r="I19" s="250" t="str">
        <f t="shared" si="16"/>
        <v/>
      </c>
      <c r="J19" s="251" t="str">
        <f t="shared" si="17"/>
        <v/>
      </c>
      <c r="K19" s="327"/>
      <c r="L19" s="327"/>
      <c r="M19" s="327"/>
      <c r="N19" s="327"/>
      <c r="O19" s="249"/>
      <c r="P19" s="328"/>
      <c r="Q19" s="329"/>
      <c r="R19" s="329"/>
      <c r="S19" s="329"/>
      <c r="T19" s="330"/>
      <c r="U19" s="331" t="str">
        <f>IF(H19="TE-F",IFERROR(VLOOKUP(物料汇总表!B19,参考表!A:D,3,FALSE),""),IF(H19="HP61",IFERROR(VLOOKUP(B19,参考表!T:V,3,FALSE),""),IF(OR(H19="RF1",H19="RF2"),IFERROR(VLOOKUP(B19,参考表!N:Q,4,FALSE),IFERROR(VLOOKUP(B19,发运层物料名称参考表!D:E,3,FALSE),"")),IFERROR(VLOOKUP(B19,发运层物料名称参考表!D:H,2,FALSE),IFERROR(VLOOKUP(B19,参考表!N:Q,4,FALSE),"")))))</f>
        <v/>
      </c>
      <c r="V19" s="331" t="s">
        <v>88</v>
      </c>
      <c r="W19" s="324" t="str">
        <f>IF(H19="TE-F",IFERROR(VLOOKUP(物料汇总表!B19,参考表!A:D,4,FALSE),""),IF(H19="HP61",IFERROR(VLOOKUP(B19,参考表!T:V,2,FALSE),""),IF(OR(H19="RF1",H19="RF2"),IFERROR(VLOOKUP(B19,参考表!N:Q,3,FALSE),IFERROR(VLOOKUP(B19,发运层物料名称参考表!D:G,4,FALSE),"")),IFERROR(VLOOKUP(B19,发运层物料名称参考表!D:H,4,FALSE),IFERROR(VLOOKUP(B19,参考表!N:Q,3,FALSE),"")))))</f>
        <v/>
      </c>
      <c r="X19" s="325"/>
      <c r="Y19" s="326"/>
      <c r="Z19" s="292"/>
      <c r="AA19" s="331" t="str">
        <f t="shared" si="18"/>
        <v/>
      </c>
      <c r="AB19" s="340" t="s">
        <v>98</v>
      </c>
      <c r="AD19" s="44" t="str">
        <f t="shared" si="1"/>
        <v/>
      </c>
      <c r="AE19" s="56"/>
      <c r="AF19" s="49"/>
      <c r="AG19" s="72" t="str">
        <f t="shared" si="2"/>
        <v/>
      </c>
      <c r="AH19" s="73" t="str">
        <f t="shared" si="3"/>
        <v/>
      </c>
      <c r="AI19" s="73" t="str">
        <f t="shared" si="4"/>
        <v/>
      </c>
      <c r="AJ19" s="73" t="str">
        <f t="shared" si="5"/>
        <v/>
      </c>
      <c r="AK19" s="73"/>
      <c r="AL19" s="73" t="str">
        <f t="shared" si="6"/>
        <v/>
      </c>
      <c r="AM19" s="73" t="str">
        <f t="shared" si="7"/>
        <v/>
      </c>
      <c r="AN19" s="74"/>
      <c r="AO19" s="47" t="str">
        <f t="shared" si="8"/>
        <v/>
      </c>
      <c r="AP19" s="73" t="str">
        <f t="shared" si="19"/>
        <v/>
      </c>
      <c r="AQ19" s="47" t="str">
        <f t="shared" si="9"/>
        <v/>
      </c>
      <c r="AR19" s="73" t="str">
        <f t="shared" si="20"/>
        <v/>
      </c>
      <c r="AS19" s="85"/>
      <c r="AT19" s="73" t="str">
        <f t="shared" si="21"/>
        <v/>
      </c>
      <c r="AU19" s="51" t="str">
        <f t="shared" si="10"/>
        <v/>
      </c>
      <c r="AV19" s="73" t="str">
        <f t="shared" si="22"/>
        <v/>
      </c>
      <c r="AW19" s="47" t="str">
        <f t="shared" si="11"/>
        <v/>
      </c>
      <c r="AX19" s="49"/>
      <c r="AY19" s="49"/>
      <c r="AZ19" s="267" t="str">
        <f t="shared" si="23"/>
        <v/>
      </c>
      <c r="BA19" s="267" t="str">
        <f t="shared" si="24"/>
        <v/>
      </c>
      <c r="BB19" s="93" t="str">
        <f t="shared" si="25"/>
        <v/>
      </c>
      <c r="BC19" s="94" t="str">
        <f t="shared" si="26"/>
        <v/>
      </c>
      <c r="BD19" s="95"/>
      <c r="BE19" s="96" t="str">
        <f t="shared" si="27"/>
        <v/>
      </c>
      <c r="BF19" s="94" t="str">
        <f t="shared" si="28"/>
        <v/>
      </c>
      <c r="BG19" s="97"/>
      <c r="BH19" s="97"/>
      <c r="BI19" s="98"/>
      <c r="BJ19" s="97"/>
      <c r="BK19" s="97" t="str">
        <f t="shared" si="29"/>
        <v/>
      </c>
      <c r="BL19" s="97" t="str">
        <f t="shared" si="30"/>
        <v/>
      </c>
      <c r="BM19" s="266" t="str">
        <f t="shared" si="31"/>
        <v/>
      </c>
      <c r="BN19" s="263"/>
      <c r="BO19" s="266" t="str">
        <f t="shared" si="32"/>
        <v/>
      </c>
      <c r="BP19" s="264"/>
      <c r="BQ19" s="264"/>
    </row>
    <row r="20" spans="1:69" s="52" customFormat="1" ht="16.05" customHeight="1">
      <c r="A20" s="237"/>
      <c r="B20" s="237"/>
      <c r="C20" s="254" t="str">
        <f>IF(B20="","",IFERROR(VLOOKUP(物料汇总表!B20,参考表!A:B,2,FALSE),IFERROR(INDEX('[1]Part Name Dictionary'!$C$1:$C$5000,MATCH(B20,'[1]Part Name Dictionary'!$B$1:$B$5000,0)),IFERROR(VLOOKUP(B20,参考表!N:O,2,FALSE),""))))</f>
        <v/>
      </c>
      <c r="D20" s="254" t="str">
        <f t="shared" si="15"/>
        <v/>
      </c>
      <c r="E20" s="237"/>
      <c r="F20" s="235" t="str">
        <f>IF(B20="","",IFERROR(INDEX('[1]Part Name Dictionary'!$V$1:$V$5000,MATCH(B20,'[1]Part Name Dictionary'!$B$1:$B$5000,0)),""))</f>
        <v/>
      </c>
      <c r="G20" s="246"/>
      <c r="H20" s="247"/>
      <c r="I20" s="250" t="str">
        <f t="shared" si="16"/>
        <v/>
      </c>
      <c r="J20" s="251" t="str">
        <f t="shared" si="17"/>
        <v/>
      </c>
      <c r="K20" s="327"/>
      <c r="L20" s="327"/>
      <c r="M20" s="327"/>
      <c r="N20" s="327"/>
      <c r="O20" s="249"/>
      <c r="P20" s="328"/>
      <c r="Q20" s="329"/>
      <c r="R20" s="329"/>
      <c r="S20" s="329"/>
      <c r="T20" s="330"/>
      <c r="U20" s="331" t="str">
        <f>IF(H20="TE-F",IFERROR(VLOOKUP(物料汇总表!B20,参考表!A:D,3,FALSE),""),IF(H20="HP61",IFERROR(VLOOKUP(B20,参考表!T:V,3,FALSE),""),IF(OR(H20="RF1",H20="RF2"),IFERROR(VLOOKUP(B20,参考表!N:Q,4,FALSE),IFERROR(VLOOKUP(B20,发运层物料名称参考表!D:E,3,FALSE),"")),IFERROR(VLOOKUP(B20,发运层物料名称参考表!D:H,2,FALSE),IFERROR(VLOOKUP(B20,参考表!N:Q,4,FALSE),"")))))</f>
        <v/>
      </c>
      <c r="V20" s="331" t="s">
        <v>88</v>
      </c>
      <c r="W20" s="324" t="str">
        <f>IF(H20="TE-F",IFERROR(VLOOKUP(物料汇总表!B20,参考表!A:D,4,FALSE),""),IF(H20="HP61",IFERROR(VLOOKUP(B20,参考表!T:V,2,FALSE),""),IF(OR(H20="RF1",H20="RF2"),IFERROR(VLOOKUP(B20,参考表!N:Q,3,FALSE),IFERROR(VLOOKUP(B20,发运层物料名称参考表!D:G,4,FALSE),"")),IFERROR(VLOOKUP(B20,发运层物料名称参考表!D:H,4,FALSE),IFERROR(VLOOKUP(B20,参考表!N:Q,3,FALSE),"")))))</f>
        <v/>
      </c>
      <c r="X20" s="325"/>
      <c r="Y20" s="326"/>
      <c r="Z20" s="292"/>
      <c r="AA20" s="331" t="str">
        <f t="shared" si="18"/>
        <v/>
      </c>
      <c r="AB20" s="340" t="s">
        <v>98</v>
      </c>
      <c r="AD20" s="44" t="str">
        <f t="shared" si="1"/>
        <v/>
      </c>
      <c r="AE20" s="56"/>
      <c r="AF20" s="49"/>
      <c r="AG20" s="72" t="str">
        <f t="shared" si="2"/>
        <v/>
      </c>
      <c r="AH20" s="73" t="str">
        <f t="shared" si="3"/>
        <v/>
      </c>
      <c r="AI20" s="73" t="str">
        <f t="shared" si="4"/>
        <v/>
      </c>
      <c r="AJ20" s="73" t="str">
        <f t="shared" si="5"/>
        <v/>
      </c>
      <c r="AK20" s="73"/>
      <c r="AL20" s="73" t="str">
        <f t="shared" si="6"/>
        <v/>
      </c>
      <c r="AM20" s="73" t="str">
        <f t="shared" si="7"/>
        <v/>
      </c>
      <c r="AN20" s="74"/>
      <c r="AO20" s="47" t="str">
        <f t="shared" si="8"/>
        <v/>
      </c>
      <c r="AP20" s="73" t="str">
        <f t="shared" si="19"/>
        <v/>
      </c>
      <c r="AQ20" s="47" t="str">
        <f t="shared" si="9"/>
        <v/>
      </c>
      <c r="AR20" s="73" t="str">
        <f t="shared" si="20"/>
        <v/>
      </c>
      <c r="AS20" s="85"/>
      <c r="AT20" s="73" t="str">
        <f t="shared" si="21"/>
        <v/>
      </c>
      <c r="AU20" s="51" t="str">
        <f t="shared" si="10"/>
        <v/>
      </c>
      <c r="AV20" s="73" t="str">
        <f t="shared" si="22"/>
        <v/>
      </c>
      <c r="AW20" s="47" t="str">
        <f t="shared" si="11"/>
        <v/>
      </c>
      <c r="AX20" s="49"/>
      <c r="AY20" s="49"/>
      <c r="AZ20" s="267" t="str">
        <f t="shared" si="23"/>
        <v/>
      </c>
      <c r="BA20" s="267" t="str">
        <f t="shared" si="24"/>
        <v/>
      </c>
      <c r="BB20" s="93" t="str">
        <f t="shared" si="25"/>
        <v/>
      </c>
      <c r="BC20" s="94" t="str">
        <f t="shared" si="26"/>
        <v/>
      </c>
      <c r="BD20" s="95"/>
      <c r="BE20" s="96" t="str">
        <f t="shared" si="27"/>
        <v/>
      </c>
      <c r="BF20" s="94" t="str">
        <f t="shared" si="28"/>
        <v/>
      </c>
      <c r="BG20" s="97"/>
      <c r="BH20" s="97"/>
      <c r="BI20" s="98"/>
      <c r="BJ20" s="97"/>
      <c r="BK20" s="97" t="str">
        <f t="shared" si="29"/>
        <v/>
      </c>
      <c r="BL20" s="97" t="str">
        <f t="shared" si="30"/>
        <v/>
      </c>
      <c r="BM20" s="266" t="str">
        <f t="shared" si="31"/>
        <v/>
      </c>
      <c r="BN20" s="263"/>
      <c r="BO20" s="266" t="str">
        <f t="shared" si="32"/>
        <v/>
      </c>
      <c r="BP20" s="264"/>
      <c r="BQ20" s="264"/>
    </row>
    <row r="21" spans="1:69" s="52" customFormat="1" ht="16.05" customHeight="1">
      <c r="A21" s="237"/>
      <c r="B21" s="237"/>
      <c r="C21" s="254" t="str">
        <f>IF(B21="","",IFERROR(VLOOKUP(物料汇总表!B21,参考表!A:B,2,FALSE),IFERROR(INDEX('[1]Part Name Dictionary'!$C$1:$C$5000,MATCH(B21,'[1]Part Name Dictionary'!$B$1:$B$5000,0)),IFERROR(VLOOKUP(B21,参考表!N:O,2,FALSE),""))))</f>
        <v/>
      </c>
      <c r="D21" s="254" t="str">
        <f t="shared" si="15"/>
        <v/>
      </c>
      <c r="E21" s="237"/>
      <c r="F21" s="235" t="str">
        <f>IF(B21="","",IFERROR(INDEX('[1]Part Name Dictionary'!$V$1:$V$5000,MATCH(B21,'[1]Part Name Dictionary'!$B$1:$B$5000,0)),""))</f>
        <v/>
      </c>
      <c r="G21" s="246"/>
      <c r="H21" s="247"/>
      <c r="I21" s="250" t="str">
        <f t="shared" si="16"/>
        <v/>
      </c>
      <c r="J21" s="251" t="str">
        <f t="shared" si="17"/>
        <v/>
      </c>
      <c r="K21" s="327"/>
      <c r="L21" s="327"/>
      <c r="M21" s="327"/>
      <c r="N21" s="327"/>
      <c r="O21" s="249"/>
      <c r="P21" s="328"/>
      <c r="Q21" s="329"/>
      <c r="R21" s="329"/>
      <c r="S21" s="329"/>
      <c r="T21" s="330"/>
      <c r="U21" s="331" t="str">
        <f>IF(H21="TE-F",IFERROR(VLOOKUP(物料汇总表!B21,参考表!A:D,3,FALSE),""),IF(H21="HP61",IFERROR(VLOOKUP(B21,参考表!T:V,3,FALSE),""),IF(OR(H21="RF1",H21="RF2"),IFERROR(VLOOKUP(B21,参考表!N:Q,4,FALSE),IFERROR(VLOOKUP(B21,发运层物料名称参考表!D:E,3,FALSE),"")),IFERROR(VLOOKUP(B21,发运层物料名称参考表!D:H,2,FALSE),IFERROR(VLOOKUP(B21,参考表!N:Q,4,FALSE),"")))))</f>
        <v/>
      </c>
      <c r="V21" s="331" t="s">
        <v>88</v>
      </c>
      <c r="W21" s="324" t="str">
        <f>IF(H21="TE-F",IFERROR(VLOOKUP(物料汇总表!B21,参考表!A:D,4,FALSE),""),IF(H21="HP61",IFERROR(VLOOKUP(B21,参考表!T:V,2,FALSE),""),IF(OR(H21="RF1",H21="RF2"),IFERROR(VLOOKUP(B21,参考表!N:Q,3,FALSE),IFERROR(VLOOKUP(B21,发运层物料名称参考表!D:G,4,FALSE),"")),IFERROR(VLOOKUP(B21,发运层物料名称参考表!D:H,4,FALSE),IFERROR(VLOOKUP(B21,参考表!N:Q,3,FALSE),"")))))</f>
        <v/>
      </c>
      <c r="X21" s="325"/>
      <c r="Y21" s="326"/>
      <c r="Z21" s="292"/>
      <c r="AA21" s="331" t="str">
        <f t="shared" si="18"/>
        <v/>
      </c>
      <c r="AB21" s="340" t="s">
        <v>98</v>
      </c>
      <c r="AD21" s="44" t="str">
        <f t="shared" si="1"/>
        <v/>
      </c>
      <c r="AE21" s="56"/>
      <c r="AF21" s="49"/>
      <c r="AG21" s="72" t="str">
        <f t="shared" si="2"/>
        <v/>
      </c>
      <c r="AH21" s="73" t="str">
        <f t="shared" si="3"/>
        <v/>
      </c>
      <c r="AI21" s="73" t="str">
        <f t="shared" si="4"/>
        <v/>
      </c>
      <c r="AJ21" s="73" t="str">
        <f t="shared" si="5"/>
        <v/>
      </c>
      <c r="AK21" s="73"/>
      <c r="AL21" s="73" t="str">
        <f t="shared" si="6"/>
        <v/>
      </c>
      <c r="AM21" s="73" t="str">
        <f t="shared" si="7"/>
        <v/>
      </c>
      <c r="AN21" s="74"/>
      <c r="AO21" s="47" t="str">
        <f t="shared" si="8"/>
        <v/>
      </c>
      <c r="AP21" s="73" t="str">
        <f t="shared" si="19"/>
        <v/>
      </c>
      <c r="AQ21" s="47" t="str">
        <f t="shared" si="9"/>
        <v/>
      </c>
      <c r="AR21" s="73" t="str">
        <f t="shared" si="20"/>
        <v/>
      </c>
      <c r="AS21" s="85"/>
      <c r="AT21" s="73" t="str">
        <f t="shared" si="21"/>
        <v/>
      </c>
      <c r="AU21" s="51" t="str">
        <f t="shared" si="10"/>
        <v/>
      </c>
      <c r="AV21" s="73" t="str">
        <f t="shared" si="22"/>
        <v/>
      </c>
      <c r="AW21" s="47" t="str">
        <f t="shared" si="11"/>
        <v/>
      </c>
      <c r="AX21" s="49"/>
      <c r="AY21" s="49"/>
      <c r="AZ21" s="267" t="str">
        <f t="shared" si="23"/>
        <v/>
      </c>
      <c r="BA21" s="267" t="str">
        <f t="shared" si="24"/>
        <v/>
      </c>
      <c r="BB21" s="93" t="str">
        <f t="shared" si="25"/>
        <v/>
      </c>
      <c r="BC21" s="94" t="str">
        <f t="shared" si="26"/>
        <v/>
      </c>
      <c r="BD21" s="95"/>
      <c r="BE21" s="96" t="str">
        <f t="shared" si="27"/>
        <v/>
      </c>
      <c r="BF21" s="94" t="str">
        <f t="shared" si="28"/>
        <v/>
      </c>
      <c r="BG21" s="97"/>
      <c r="BH21" s="97"/>
      <c r="BI21" s="98"/>
      <c r="BJ21" s="97"/>
      <c r="BK21" s="97" t="str">
        <f t="shared" si="29"/>
        <v/>
      </c>
      <c r="BL21" s="97" t="str">
        <f t="shared" si="30"/>
        <v/>
      </c>
      <c r="BM21" s="266" t="str">
        <f t="shared" si="31"/>
        <v/>
      </c>
      <c r="BN21" s="263"/>
      <c r="BO21" s="266" t="str">
        <f t="shared" si="32"/>
        <v/>
      </c>
      <c r="BP21" s="264"/>
      <c r="BQ21" s="264"/>
    </row>
    <row r="22" spans="1:69" s="52" customFormat="1" ht="16.05" customHeight="1">
      <c r="A22" s="237"/>
      <c r="B22" s="237"/>
      <c r="C22" s="254" t="str">
        <f>IF(B22="","",IFERROR(VLOOKUP(物料汇总表!B22,参考表!A:B,2,FALSE),IFERROR(INDEX('[1]Part Name Dictionary'!$C$1:$C$5000,MATCH(B22,'[1]Part Name Dictionary'!$B$1:$B$5000,0)),IFERROR(VLOOKUP(B22,参考表!N:O,2,FALSE),""))))</f>
        <v/>
      </c>
      <c r="D22" s="254" t="str">
        <f t="shared" si="15"/>
        <v/>
      </c>
      <c r="E22" s="237"/>
      <c r="F22" s="235" t="str">
        <f>IF(B22="","",IFERROR(INDEX('[1]Part Name Dictionary'!$V$1:$V$5000,MATCH(B22,'[1]Part Name Dictionary'!$B$1:$B$5000,0)),""))</f>
        <v/>
      </c>
      <c r="G22" s="246"/>
      <c r="H22" s="247"/>
      <c r="I22" s="250" t="str">
        <f t="shared" si="16"/>
        <v/>
      </c>
      <c r="J22" s="251" t="str">
        <f t="shared" si="17"/>
        <v/>
      </c>
      <c r="K22" s="327"/>
      <c r="L22" s="327"/>
      <c r="M22" s="327"/>
      <c r="N22" s="327"/>
      <c r="O22" s="249"/>
      <c r="P22" s="328"/>
      <c r="Q22" s="329"/>
      <c r="R22" s="329"/>
      <c r="S22" s="329"/>
      <c r="T22" s="330"/>
      <c r="U22" s="331" t="str">
        <f>IF(H22="TE-F",IFERROR(VLOOKUP(物料汇总表!B22,参考表!A:D,3,FALSE),""),IF(H22="HP61",IFERROR(VLOOKUP(B22,参考表!T:V,3,FALSE),""),IF(OR(H22="RF1",H22="RF2"),IFERROR(VLOOKUP(B22,参考表!N:Q,4,FALSE),IFERROR(VLOOKUP(B22,发运层物料名称参考表!D:E,3,FALSE),"")),IFERROR(VLOOKUP(B22,发运层物料名称参考表!D:H,2,FALSE),IFERROR(VLOOKUP(B22,参考表!N:Q,4,FALSE),"")))))</f>
        <v/>
      </c>
      <c r="V22" s="331" t="s">
        <v>88</v>
      </c>
      <c r="W22" s="324" t="str">
        <f>IF(H22="TE-F",IFERROR(VLOOKUP(物料汇总表!B22,参考表!A:D,4,FALSE),""),IF(H22="HP61",IFERROR(VLOOKUP(B22,参考表!T:V,2,FALSE),""),IF(OR(H22="RF1",H22="RF2"),IFERROR(VLOOKUP(B22,参考表!N:Q,3,FALSE),IFERROR(VLOOKUP(B22,发运层物料名称参考表!D:G,4,FALSE),"")),IFERROR(VLOOKUP(B22,发运层物料名称参考表!D:H,4,FALSE),IFERROR(VLOOKUP(B22,参考表!N:Q,3,FALSE),"")))))</f>
        <v/>
      </c>
      <c r="X22" s="325"/>
      <c r="Y22" s="326"/>
      <c r="Z22" s="292"/>
      <c r="AA22" s="331" t="str">
        <f t="shared" si="18"/>
        <v/>
      </c>
      <c r="AB22" s="340" t="s">
        <v>98</v>
      </c>
      <c r="AD22" s="44" t="str">
        <f t="shared" si="1"/>
        <v/>
      </c>
      <c r="AE22" s="56"/>
      <c r="AF22" s="49"/>
      <c r="AG22" s="72" t="str">
        <f t="shared" si="2"/>
        <v/>
      </c>
      <c r="AH22" s="73" t="str">
        <f t="shared" si="3"/>
        <v/>
      </c>
      <c r="AI22" s="73" t="str">
        <f t="shared" si="4"/>
        <v/>
      </c>
      <c r="AJ22" s="73" t="str">
        <f t="shared" si="5"/>
        <v/>
      </c>
      <c r="AK22" s="73"/>
      <c r="AL22" s="73" t="str">
        <f t="shared" si="6"/>
        <v/>
      </c>
      <c r="AM22" s="73" t="str">
        <f t="shared" si="7"/>
        <v/>
      </c>
      <c r="AN22" s="74"/>
      <c r="AO22" s="47" t="str">
        <f t="shared" si="8"/>
        <v/>
      </c>
      <c r="AP22" s="73" t="str">
        <f t="shared" si="19"/>
        <v/>
      </c>
      <c r="AQ22" s="47" t="str">
        <f t="shared" si="9"/>
        <v/>
      </c>
      <c r="AR22" s="73" t="str">
        <f t="shared" si="20"/>
        <v/>
      </c>
      <c r="AS22" s="85"/>
      <c r="AT22" s="73" t="str">
        <f t="shared" si="21"/>
        <v/>
      </c>
      <c r="AU22" s="51" t="str">
        <f t="shared" si="10"/>
        <v/>
      </c>
      <c r="AV22" s="73" t="str">
        <f t="shared" si="22"/>
        <v/>
      </c>
      <c r="AW22" s="47" t="str">
        <f t="shared" si="11"/>
        <v/>
      </c>
      <c r="AX22" s="49"/>
      <c r="AY22" s="49"/>
      <c r="AZ22" s="267" t="str">
        <f t="shared" si="23"/>
        <v/>
      </c>
      <c r="BA22" s="267" t="str">
        <f t="shared" si="24"/>
        <v/>
      </c>
      <c r="BB22" s="93" t="str">
        <f t="shared" si="25"/>
        <v/>
      </c>
      <c r="BC22" s="94" t="str">
        <f t="shared" si="26"/>
        <v/>
      </c>
      <c r="BD22" s="95"/>
      <c r="BE22" s="96" t="str">
        <f t="shared" si="27"/>
        <v/>
      </c>
      <c r="BF22" s="94" t="str">
        <f t="shared" si="28"/>
        <v/>
      </c>
      <c r="BG22" s="97"/>
      <c r="BH22" s="97"/>
      <c r="BI22" s="98"/>
      <c r="BJ22" s="97"/>
      <c r="BK22" s="97" t="str">
        <f t="shared" si="29"/>
        <v/>
      </c>
      <c r="BL22" s="97" t="str">
        <f t="shared" si="30"/>
        <v/>
      </c>
      <c r="BM22" s="266" t="str">
        <f t="shared" si="31"/>
        <v/>
      </c>
      <c r="BN22" s="263"/>
      <c r="BO22" s="266" t="str">
        <f t="shared" si="32"/>
        <v/>
      </c>
      <c r="BP22" s="264"/>
      <c r="BQ22" s="264"/>
    </row>
    <row r="23" spans="1:69" s="52" customFormat="1" ht="16.05" customHeight="1">
      <c r="A23" s="237"/>
      <c r="B23" s="237"/>
      <c r="C23" s="254" t="str">
        <f>IF(B23="","",IFERROR(VLOOKUP(物料汇总表!B23,参考表!A:B,2,FALSE),IFERROR(INDEX('[1]Part Name Dictionary'!$C$1:$C$5000,MATCH(B23,'[1]Part Name Dictionary'!$B$1:$B$5000,0)),IFERROR(VLOOKUP(B23,参考表!N:O,2,FALSE),""))))</f>
        <v/>
      </c>
      <c r="D23" s="254" t="str">
        <f t="shared" si="15"/>
        <v/>
      </c>
      <c r="E23" s="237"/>
      <c r="F23" s="235" t="str">
        <f>IF(B23="","",IFERROR(INDEX('[1]Part Name Dictionary'!$V$1:$V$5000,MATCH(B23,'[1]Part Name Dictionary'!$B$1:$B$5000,0)),""))</f>
        <v/>
      </c>
      <c r="G23" s="246"/>
      <c r="H23" s="247"/>
      <c r="I23" s="250" t="str">
        <f t="shared" si="16"/>
        <v/>
      </c>
      <c r="J23" s="251" t="str">
        <f t="shared" si="17"/>
        <v/>
      </c>
      <c r="K23" s="327"/>
      <c r="L23" s="327"/>
      <c r="M23" s="327"/>
      <c r="N23" s="327"/>
      <c r="O23" s="249"/>
      <c r="P23" s="328"/>
      <c r="Q23" s="329"/>
      <c r="R23" s="329"/>
      <c r="S23" s="329"/>
      <c r="T23" s="330"/>
      <c r="U23" s="331" t="str">
        <f>IF(H23="TE-F",IFERROR(VLOOKUP(物料汇总表!B23,参考表!A:D,3,FALSE),""),IF(H23="HP61",IFERROR(VLOOKUP(B23,参考表!T:V,3,FALSE),""),IF(OR(H23="RF1",H23="RF2"),IFERROR(VLOOKUP(B23,参考表!N:Q,4,FALSE),IFERROR(VLOOKUP(B23,发运层物料名称参考表!D:E,3,FALSE),"")),IFERROR(VLOOKUP(B23,发运层物料名称参考表!D:H,2,FALSE),IFERROR(VLOOKUP(B23,参考表!N:Q,4,FALSE),"")))))</f>
        <v/>
      </c>
      <c r="V23" s="331" t="s">
        <v>88</v>
      </c>
      <c r="W23" s="324" t="str">
        <f>IF(H23="TE-F",IFERROR(VLOOKUP(物料汇总表!B23,参考表!A:D,4,FALSE),""),IF(H23="HP61",IFERROR(VLOOKUP(B23,参考表!T:V,2,FALSE),""),IF(OR(H23="RF1",H23="RF2"),IFERROR(VLOOKUP(B23,参考表!N:Q,3,FALSE),IFERROR(VLOOKUP(B23,发运层物料名称参考表!D:G,4,FALSE),"")),IFERROR(VLOOKUP(B23,发运层物料名称参考表!D:H,4,FALSE),IFERROR(VLOOKUP(B23,参考表!N:Q,3,FALSE),"")))))</f>
        <v/>
      </c>
      <c r="X23" s="325"/>
      <c r="Y23" s="326"/>
      <c r="Z23" s="292"/>
      <c r="AA23" s="331" t="str">
        <f t="shared" si="18"/>
        <v/>
      </c>
      <c r="AB23" s="340" t="s">
        <v>98</v>
      </c>
      <c r="AD23" s="44" t="str">
        <f t="shared" si="1"/>
        <v/>
      </c>
      <c r="AE23" s="56"/>
      <c r="AF23" s="49"/>
      <c r="AG23" s="72" t="str">
        <f t="shared" si="2"/>
        <v/>
      </c>
      <c r="AH23" s="73" t="str">
        <f t="shared" si="3"/>
        <v/>
      </c>
      <c r="AI23" s="73" t="str">
        <f t="shared" si="4"/>
        <v/>
      </c>
      <c r="AJ23" s="73" t="str">
        <f t="shared" si="5"/>
        <v/>
      </c>
      <c r="AK23" s="73"/>
      <c r="AL23" s="73" t="str">
        <f t="shared" si="6"/>
        <v/>
      </c>
      <c r="AM23" s="73" t="str">
        <f t="shared" si="7"/>
        <v/>
      </c>
      <c r="AN23" s="74"/>
      <c r="AO23" s="47" t="str">
        <f t="shared" si="8"/>
        <v/>
      </c>
      <c r="AP23" s="73" t="str">
        <f t="shared" si="19"/>
        <v/>
      </c>
      <c r="AQ23" s="47" t="str">
        <f t="shared" si="9"/>
        <v/>
      </c>
      <c r="AR23" s="73" t="str">
        <f t="shared" si="20"/>
        <v/>
      </c>
      <c r="AS23" s="85"/>
      <c r="AT23" s="73" t="str">
        <f t="shared" si="21"/>
        <v/>
      </c>
      <c r="AU23" s="51" t="str">
        <f t="shared" si="10"/>
        <v/>
      </c>
      <c r="AV23" s="73" t="str">
        <f t="shared" si="22"/>
        <v/>
      </c>
      <c r="AW23" s="47" t="str">
        <f t="shared" si="11"/>
        <v/>
      </c>
      <c r="AX23" s="49"/>
      <c r="AY23" s="49"/>
      <c r="AZ23" s="267" t="str">
        <f t="shared" si="23"/>
        <v/>
      </c>
      <c r="BA23" s="267" t="str">
        <f t="shared" si="24"/>
        <v/>
      </c>
      <c r="BB23" s="93" t="str">
        <f t="shared" si="25"/>
        <v/>
      </c>
      <c r="BC23" s="94" t="str">
        <f t="shared" si="26"/>
        <v/>
      </c>
      <c r="BD23" s="95"/>
      <c r="BE23" s="96" t="str">
        <f t="shared" si="27"/>
        <v/>
      </c>
      <c r="BF23" s="94" t="str">
        <f t="shared" si="28"/>
        <v/>
      </c>
      <c r="BG23" s="97"/>
      <c r="BH23" s="97"/>
      <c r="BI23" s="98"/>
      <c r="BJ23" s="97"/>
      <c r="BK23" s="97" t="str">
        <f t="shared" si="29"/>
        <v/>
      </c>
      <c r="BL23" s="97" t="str">
        <f t="shared" si="30"/>
        <v/>
      </c>
      <c r="BM23" s="266" t="str">
        <f t="shared" si="31"/>
        <v/>
      </c>
      <c r="BN23" s="263"/>
      <c r="BO23" s="266" t="str">
        <f t="shared" si="32"/>
        <v/>
      </c>
      <c r="BP23" s="264"/>
      <c r="BQ23" s="264"/>
    </row>
    <row r="24" spans="1:69" s="52" customFormat="1" ht="16.05" customHeight="1">
      <c r="A24" s="237"/>
      <c r="B24" s="237"/>
      <c r="C24" s="254" t="str">
        <f>IF(B24="","",IFERROR(VLOOKUP(物料汇总表!B24,参考表!A:B,2,FALSE),IFERROR(INDEX('[1]Part Name Dictionary'!$C$1:$C$5000,MATCH(B24,'[1]Part Name Dictionary'!$B$1:$B$5000,0)),IFERROR(VLOOKUP(B24,参考表!N:O,2,FALSE),""))))</f>
        <v/>
      </c>
      <c r="D24" s="254" t="str">
        <f t="shared" si="15"/>
        <v/>
      </c>
      <c r="E24" s="237"/>
      <c r="F24" s="235" t="str">
        <f>IF(B24="","",IFERROR(INDEX('[1]Part Name Dictionary'!$V$1:$V$5000,MATCH(B24,'[1]Part Name Dictionary'!$B$1:$B$5000,0)),""))</f>
        <v/>
      </c>
      <c r="G24" s="246"/>
      <c r="H24" s="247"/>
      <c r="I24" s="250" t="str">
        <f t="shared" si="16"/>
        <v/>
      </c>
      <c r="J24" s="251" t="str">
        <f t="shared" si="17"/>
        <v/>
      </c>
      <c r="K24" s="327"/>
      <c r="L24" s="327"/>
      <c r="M24" s="327"/>
      <c r="N24" s="327"/>
      <c r="O24" s="249"/>
      <c r="P24" s="328"/>
      <c r="Q24" s="329"/>
      <c r="R24" s="329"/>
      <c r="S24" s="329"/>
      <c r="T24" s="330"/>
      <c r="U24" s="331" t="str">
        <f>IF(H24="TE-F",IFERROR(VLOOKUP(物料汇总表!B24,参考表!A:D,3,FALSE),""),IF(H24="HP61",IFERROR(VLOOKUP(B24,参考表!T:V,3,FALSE),""),IF(OR(H24="RF1",H24="RF2"),IFERROR(VLOOKUP(B24,参考表!N:Q,4,FALSE),IFERROR(VLOOKUP(B24,发运层物料名称参考表!D:E,3,FALSE),"")),IFERROR(VLOOKUP(B24,发运层物料名称参考表!D:H,2,FALSE),IFERROR(VLOOKUP(B24,参考表!N:Q,4,FALSE),"")))))</f>
        <v/>
      </c>
      <c r="V24" s="331" t="s">
        <v>88</v>
      </c>
      <c r="W24" s="324" t="str">
        <f>IF(H24="TE-F",IFERROR(VLOOKUP(物料汇总表!B24,参考表!A:D,4,FALSE),""),IF(H24="HP61",IFERROR(VLOOKUP(B24,参考表!T:V,2,FALSE),""),IF(OR(H24="RF1",H24="RF2"),IFERROR(VLOOKUP(B24,参考表!N:Q,3,FALSE),IFERROR(VLOOKUP(B24,发运层物料名称参考表!D:G,4,FALSE),"")),IFERROR(VLOOKUP(B24,发运层物料名称参考表!D:H,4,FALSE),IFERROR(VLOOKUP(B24,参考表!N:Q,3,FALSE),"")))))</f>
        <v/>
      </c>
      <c r="X24" s="325"/>
      <c r="Y24" s="326"/>
      <c r="Z24" s="292"/>
      <c r="AA24" s="331" t="str">
        <f t="shared" si="18"/>
        <v/>
      </c>
      <c r="AB24" s="340" t="s">
        <v>98</v>
      </c>
      <c r="AD24" s="44" t="str">
        <f t="shared" si="1"/>
        <v/>
      </c>
      <c r="AE24" s="56"/>
      <c r="AF24" s="49"/>
      <c r="AG24" s="72" t="str">
        <f t="shared" si="2"/>
        <v/>
      </c>
      <c r="AH24" s="73" t="str">
        <f t="shared" si="3"/>
        <v/>
      </c>
      <c r="AI24" s="73" t="str">
        <f t="shared" si="4"/>
        <v/>
      </c>
      <c r="AJ24" s="73" t="str">
        <f t="shared" si="5"/>
        <v/>
      </c>
      <c r="AK24" s="73"/>
      <c r="AL24" s="73" t="str">
        <f t="shared" si="6"/>
        <v/>
      </c>
      <c r="AM24" s="73" t="str">
        <f t="shared" si="7"/>
        <v/>
      </c>
      <c r="AN24" s="74"/>
      <c r="AO24" s="47" t="str">
        <f t="shared" si="8"/>
        <v/>
      </c>
      <c r="AP24" s="73" t="str">
        <f t="shared" si="19"/>
        <v/>
      </c>
      <c r="AQ24" s="47" t="str">
        <f t="shared" si="9"/>
        <v/>
      </c>
      <c r="AR24" s="73" t="str">
        <f t="shared" si="20"/>
        <v/>
      </c>
      <c r="AS24" s="85"/>
      <c r="AT24" s="73" t="str">
        <f t="shared" si="21"/>
        <v/>
      </c>
      <c r="AU24" s="51" t="str">
        <f t="shared" si="10"/>
        <v/>
      </c>
      <c r="AV24" s="73" t="str">
        <f t="shared" si="22"/>
        <v/>
      </c>
      <c r="AW24" s="47" t="str">
        <f t="shared" si="11"/>
        <v/>
      </c>
      <c r="AX24" s="49"/>
      <c r="AY24" s="49"/>
      <c r="AZ24" s="267" t="str">
        <f t="shared" si="23"/>
        <v/>
      </c>
      <c r="BA24" s="267" t="str">
        <f t="shared" si="24"/>
        <v/>
      </c>
      <c r="BB24" s="93" t="str">
        <f t="shared" si="25"/>
        <v/>
      </c>
      <c r="BC24" s="94" t="str">
        <f t="shared" si="26"/>
        <v/>
      </c>
      <c r="BD24" s="95"/>
      <c r="BE24" s="96" t="str">
        <f t="shared" si="27"/>
        <v/>
      </c>
      <c r="BF24" s="94" t="str">
        <f t="shared" si="28"/>
        <v/>
      </c>
      <c r="BG24" s="97"/>
      <c r="BH24" s="97"/>
      <c r="BI24" s="98"/>
      <c r="BJ24" s="97"/>
      <c r="BK24" s="97" t="str">
        <f t="shared" si="29"/>
        <v/>
      </c>
      <c r="BL24" s="97" t="str">
        <f t="shared" si="30"/>
        <v/>
      </c>
      <c r="BM24" s="266" t="str">
        <f t="shared" si="31"/>
        <v/>
      </c>
      <c r="BN24" s="263"/>
      <c r="BO24" s="266" t="str">
        <f t="shared" si="32"/>
        <v/>
      </c>
      <c r="BP24" s="264"/>
      <c r="BQ24" s="264"/>
    </row>
    <row r="25" spans="1:69" s="52" customFormat="1" ht="16.05" customHeight="1">
      <c r="A25" s="237"/>
      <c r="B25" s="237"/>
      <c r="C25" s="254" t="str">
        <f>IF(B25="","",IFERROR(VLOOKUP(物料汇总表!B25,参考表!A:B,2,FALSE),IFERROR(INDEX('[1]Part Name Dictionary'!$C$1:$C$5000,MATCH(B25,'[1]Part Name Dictionary'!$B$1:$B$5000,0)),IFERROR(VLOOKUP(B25,参考表!N:O,2,FALSE),""))))</f>
        <v/>
      </c>
      <c r="D25" s="254" t="str">
        <f t="shared" si="15"/>
        <v/>
      </c>
      <c r="E25" s="237"/>
      <c r="F25" s="235" t="str">
        <f>IF(B25="","",IFERROR(INDEX('[1]Part Name Dictionary'!$V$1:$V$5000,MATCH(B25,'[1]Part Name Dictionary'!$B$1:$B$5000,0)),""))</f>
        <v/>
      </c>
      <c r="G25" s="246"/>
      <c r="H25" s="247"/>
      <c r="I25" s="250" t="str">
        <f t="shared" si="16"/>
        <v/>
      </c>
      <c r="J25" s="251" t="str">
        <f t="shared" si="17"/>
        <v/>
      </c>
      <c r="K25" s="327"/>
      <c r="L25" s="327"/>
      <c r="M25" s="327"/>
      <c r="N25" s="327"/>
      <c r="O25" s="249"/>
      <c r="P25" s="328"/>
      <c r="Q25" s="329"/>
      <c r="R25" s="329"/>
      <c r="S25" s="329"/>
      <c r="T25" s="330"/>
      <c r="U25" s="331" t="str">
        <f>IF(H25="TE-F",IFERROR(VLOOKUP(物料汇总表!B25,参考表!A:D,3,FALSE),""),IF(H25="HP61",IFERROR(VLOOKUP(B25,参考表!T:V,3,FALSE),""),IF(OR(H25="RF1",H25="RF2"),IFERROR(VLOOKUP(B25,参考表!N:Q,4,FALSE),IFERROR(VLOOKUP(B25,发运层物料名称参考表!D:E,3,FALSE),"")),IFERROR(VLOOKUP(B25,发运层物料名称参考表!D:H,2,FALSE),IFERROR(VLOOKUP(B25,参考表!N:Q,4,FALSE),"")))))</f>
        <v/>
      </c>
      <c r="V25" s="331" t="s">
        <v>88</v>
      </c>
      <c r="W25" s="324" t="str">
        <f>IF(H25="TE-F",IFERROR(VLOOKUP(物料汇总表!B25,参考表!A:D,4,FALSE),""),IF(H25="HP61",IFERROR(VLOOKUP(B25,参考表!T:V,2,FALSE),""),IF(OR(H25="RF1",H25="RF2"),IFERROR(VLOOKUP(B25,参考表!N:Q,3,FALSE),IFERROR(VLOOKUP(B25,发运层物料名称参考表!D:G,4,FALSE),"")),IFERROR(VLOOKUP(B25,发运层物料名称参考表!D:H,4,FALSE),IFERROR(VLOOKUP(B25,参考表!N:Q,3,FALSE),"")))))</f>
        <v/>
      </c>
      <c r="X25" s="325"/>
      <c r="Y25" s="326"/>
      <c r="Z25" s="292"/>
      <c r="AA25" s="331" t="str">
        <f t="shared" si="18"/>
        <v/>
      </c>
      <c r="AB25" s="340" t="s">
        <v>98</v>
      </c>
      <c r="AD25" s="44" t="str">
        <f t="shared" si="1"/>
        <v/>
      </c>
      <c r="AE25" s="56"/>
      <c r="AF25" s="49"/>
      <c r="AG25" s="72" t="str">
        <f t="shared" si="2"/>
        <v/>
      </c>
      <c r="AH25" s="73" t="str">
        <f t="shared" si="3"/>
        <v/>
      </c>
      <c r="AI25" s="73" t="str">
        <f t="shared" si="4"/>
        <v/>
      </c>
      <c r="AJ25" s="73" t="str">
        <f t="shared" si="5"/>
        <v/>
      </c>
      <c r="AK25" s="73"/>
      <c r="AL25" s="73" t="str">
        <f t="shared" si="6"/>
        <v/>
      </c>
      <c r="AM25" s="73" t="str">
        <f t="shared" si="7"/>
        <v/>
      </c>
      <c r="AN25" s="74"/>
      <c r="AO25" s="47" t="str">
        <f t="shared" si="8"/>
        <v/>
      </c>
      <c r="AP25" s="73" t="str">
        <f t="shared" si="19"/>
        <v/>
      </c>
      <c r="AQ25" s="47" t="str">
        <f t="shared" si="9"/>
        <v/>
      </c>
      <c r="AR25" s="73" t="str">
        <f t="shared" si="20"/>
        <v/>
      </c>
      <c r="AS25" s="85"/>
      <c r="AT25" s="73" t="str">
        <f t="shared" si="21"/>
        <v/>
      </c>
      <c r="AU25" s="51" t="str">
        <f t="shared" si="10"/>
        <v/>
      </c>
      <c r="AV25" s="73" t="str">
        <f t="shared" si="22"/>
        <v/>
      </c>
      <c r="AW25" s="47" t="str">
        <f t="shared" si="11"/>
        <v/>
      </c>
      <c r="AX25" s="49"/>
      <c r="AY25" s="49"/>
      <c r="AZ25" s="267" t="str">
        <f t="shared" si="23"/>
        <v/>
      </c>
      <c r="BA25" s="267" t="str">
        <f t="shared" si="24"/>
        <v/>
      </c>
      <c r="BB25" s="93" t="str">
        <f t="shared" si="25"/>
        <v/>
      </c>
      <c r="BC25" s="94" t="str">
        <f t="shared" si="26"/>
        <v/>
      </c>
      <c r="BD25" s="95"/>
      <c r="BE25" s="96" t="str">
        <f t="shared" si="27"/>
        <v/>
      </c>
      <c r="BF25" s="94" t="str">
        <f t="shared" si="28"/>
        <v/>
      </c>
      <c r="BG25" s="97"/>
      <c r="BH25" s="97"/>
      <c r="BI25" s="98"/>
      <c r="BJ25" s="97"/>
      <c r="BK25" s="97" t="str">
        <f t="shared" si="29"/>
        <v/>
      </c>
      <c r="BL25" s="97" t="str">
        <f t="shared" si="30"/>
        <v/>
      </c>
      <c r="BM25" s="266" t="str">
        <f t="shared" si="31"/>
        <v/>
      </c>
      <c r="BN25" s="263"/>
      <c r="BO25" s="266" t="str">
        <f t="shared" si="32"/>
        <v/>
      </c>
      <c r="BP25" s="264"/>
      <c r="BQ25" s="264"/>
    </row>
    <row r="26" spans="1:69" s="52" customFormat="1" ht="16.05" customHeight="1">
      <c r="A26" s="237"/>
      <c r="B26" s="237"/>
      <c r="C26" s="254" t="str">
        <f>IF(B26="","",IFERROR(VLOOKUP(物料汇总表!B26,参考表!A:B,2,FALSE),IFERROR(INDEX('[1]Part Name Dictionary'!$C$1:$C$5000,MATCH(B26,'[1]Part Name Dictionary'!$B$1:$B$5000,0)),IFERROR(VLOOKUP(B26,参考表!N:O,2,FALSE),""))))</f>
        <v/>
      </c>
      <c r="D26" s="254" t="str">
        <f t="shared" si="15"/>
        <v/>
      </c>
      <c r="E26" s="237"/>
      <c r="F26" s="235" t="str">
        <f>IF(B26="","",IFERROR(INDEX('[1]Part Name Dictionary'!$V$1:$V$5000,MATCH(B26,'[1]Part Name Dictionary'!$B$1:$B$5000,0)),""))</f>
        <v/>
      </c>
      <c r="G26" s="246"/>
      <c r="H26" s="247"/>
      <c r="I26" s="250" t="str">
        <f t="shared" si="16"/>
        <v/>
      </c>
      <c r="J26" s="251" t="str">
        <f t="shared" si="17"/>
        <v/>
      </c>
      <c r="K26" s="327"/>
      <c r="L26" s="327"/>
      <c r="M26" s="327"/>
      <c r="N26" s="327"/>
      <c r="O26" s="249"/>
      <c r="P26" s="328"/>
      <c r="Q26" s="329"/>
      <c r="R26" s="329"/>
      <c r="S26" s="329"/>
      <c r="T26" s="330"/>
      <c r="U26" s="331" t="str">
        <f>IF(H26="TE-F",IFERROR(VLOOKUP(物料汇总表!B26,参考表!A:D,3,FALSE),""),IF(H26="HP61",IFERROR(VLOOKUP(B26,参考表!T:V,3,FALSE),""),IF(OR(H26="RF1",H26="RF2"),IFERROR(VLOOKUP(B26,参考表!N:Q,4,FALSE),IFERROR(VLOOKUP(B26,发运层物料名称参考表!D:E,3,FALSE),"")),IFERROR(VLOOKUP(B26,发运层物料名称参考表!D:H,2,FALSE),IFERROR(VLOOKUP(B26,参考表!N:Q,4,FALSE),"")))))</f>
        <v/>
      </c>
      <c r="V26" s="331" t="s">
        <v>88</v>
      </c>
      <c r="W26" s="324" t="str">
        <f>IF(H26="TE-F",IFERROR(VLOOKUP(物料汇总表!B26,参考表!A:D,4,FALSE),""),IF(H26="HP61",IFERROR(VLOOKUP(B26,参考表!T:V,2,FALSE),""),IF(OR(H26="RF1",H26="RF2"),IFERROR(VLOOKUP(B26,参考表!N:Q,3,FALSE),IFERROR(VLOOKUP(B26,发运层物料名称参考表!D:G,4,FALSE),"")),IFERROR(VLOOKUP(B26,发运层物料名称参考表!D:H,4,FALSE),IFERROR(VLOOKUP(B26,参考表!N:Q,3,FALSE),"")))))</f>
        <v/>
      </c>
      <c r="X26" s="325"/>
      <c r="Y26" s="326"/>
      <c r="Z26" s="292"/>
      <c r="AA26" s="331" t="str">
        <f t="shared" si="18"/>
        <v/>
      </c>
      <c r="AB26" s="340" t="s">
        <v>98</v>
      </c>
      <c r="AD26" s="44" t="str">
        <f t="shared" si="1"/>
        <v/>
      </c>
      <c r="AE26" s="56"/>
      <c r="AF26" s="49"/>
      <c r="AG26" s="72" t="str">
        <f t="shared" si="2"/>
        <v/>
      </c>
      <c r="AH26" s="73" t="str">
        <f t="shared" si="3"/>
        <v/>
      </c>
      <c r="AI26" s="73" t="str">
        <f t="shared" si="4"/>
        <v/>
      </c>
      <c r="AJ26" s="73" t="str">
        <f t="shared" si="5"/>
        <v/>
      </c>
      <c r="AK26" s="73"/>
      <c r="AL26" s="73" t="str">
        <f t="shared" si="6"/>
        <v/>
      </c>
      <c r="AM26" s="73" t="str">
        <f t="shared" si="7"/>
        <v/>
      </c>
      <c r="AN26" s="74"/>
      <c r="AO26" s="47" t="str">
        <f t="shared" si="8"/>
        <v/>
      </c>
      <c r="AP26" s="73" t="str">
        <f t="shared" si="19"/>
        <v/>
      </c>
      <c r="AQ26" s="47" t="str">
        <f t="shared" si="9"/>
        <v/>
      </c>
      <c r="AR26" s="73" t="str">
        <f t="shared" si="20"/>
        <v/>
      </c>
      <c r="AS26" s="85"/>
      <c r="AT26" s="73" t="str">
        <f t="shared" si="21"/>
        <v/>
      </c>
      <c r="AU26" s="51" t="str">
        <f t="shared" si="10"/>
        <v/>
      </c>
      <c r="AV26" s="73" t="str">
        <f t="shared" si="22"/>
        <v/>
      </c>
      <c r="AW26" s="47" t="str">
        <f t="shared" si="11"/>
        <v/>
      </c>
      <c r="AX26" s="49"/>
      <c r="AY26" s="49"/>
      <c r="AZ26" s="267" t="str">
        <f t="shared" si="23"/>
        <v/>
      </c>
      <c r="BA26" s="267" t="str">
        <f t="shared" si="24"/>
        <v/>
      </c>
      <c r="BB26" s="93" t="str">
        <f t="shared" si="25"/>
        <v/>
      </c>
      <c r="BC26" s="94" t="str">
        <f t="shared" si="26"/>
        <v/>
      </c>
      <c r="BD26" s="95"/>
      <c r="BE26" s="96" t="str">
        <f t="shared" si="27"/>
        <v/>
      </c>
      <c r="BF26" s="94" t="str">
        <f t="shared" si="28"/>
        <v/>
      </c>
      <c r="BG26" s="97"/>
      <c r="BH26" s="97"/>
      <c r="BI26" s="98"/>
      <c r="BJ26" s="97"/>
      <c r="BK26" s="97" t="str">
        <f t="shared" si="29"/>
        <v/>
      </c>
      <c r="BL26" s="97" t="str">
        <f t="shared" si="30"/>
        <v/>
      </c>
      <c r="BM26" s="266" t="str">
        <f t="shared" si="31"/>
        <v/>
      </c>
      <c r="BN26" s="263"/>
      <c r="BO26" s="266" t="str">
        <f t="shared" si="32"/>
        <v/>
      </c>
      <c r="BP26" s="264"/>
      <c r="BQ26" s="264"/>
    </row>
    <row r="27" spans="1:69" s="52" customFormat="1" ht="16.05" customHeight="1">
      <c r="A27" s="237"/>
      <c r="B27" s="237"/>
      <c r="C27" s="254" t="str">
        <f>IF(B27="","",IFERROR(VLOOKUP(物料汇总表!B27,参考表!A:B,2,FALSE),IFERROR(INDEX('[1]Part Name Dictionary'!$C$1:$C$5000,MATCH(B27,'[1]Part Name Dictionary'!$B$1:$B$5000,0)),IFERROR(VLOOKUP(B27,参考表!N:O,2,FALSE),""))))</f>
        <v/>
      </c>
      <c r="D27" s="254" t="str">
        <f t="shared" si="15"/>
        <v/>
      </c>
      <c r="E27" s="237"/>
      <c r="F27" s="235" t="str">
        <f>IF(B27="","",IFERROR(INDEX('[1]Part Name Dictionary'!$V$1:$V$5000,MATCH(B27,'[1]Part Name Dictionary'!$B$1:$B$5000,0)),""))</f>
        <v/>
      </c>
      <c r="G27" s="246"/>
      <c r="H27" s="247"/>
      <c r="I27" s="250" t="str">
        <f t="shared" si="16"/>
        <v/>
      </c>
      <c r="J27" s="251" t="str">
        <f t="shared" si="17"/>
        <v/>
      </c>
      <c r="K27" s="327"/>
      <c r="L27" s="327"/>
      <c r="M27" s="327"/>
      <c r="N27" s="327"/>
      <c r="O27" s="249"/>
      <c r="P27" s="328"/>
      <c r="Q27" s="329"/>
      <c r="R27" s="329"/>
      <c r="S27" s="329"/>
      <c r="T27" s="330"/>
      <c r="U27" s="331" t="str">
        <f>IF(H27="TE-F",IFERROR(VLOOKUP(物料汇总表!B27,参考表!A:D,3,FALSE),""),IF(H27="HP61",IFERROR(VLOOKUP(B27,参考表!T:V,3,FALSE),""),IF(OR(H27="RF1",H27="RF2"),IFERROR(VLOOKUP(B27,参考表!N:Q,4,FALSE),IFERROR(VLOOKUP(B27,发运层物料名称参考表!D:E,3,FALSE),"")),IFERROR(VLOOKUP(B27,发运层物料名称参考表!D:H,2,FALSE),IFERROR(VLOOKUP(B27,参考表!N:Q,4,FALSE),"")))))</f>
        <v/>
      </c>
      <c r="V27" s="331" t="s">
        <v>88</v>
      </c>
      <c r="W27" s="324" t="str">
        <f>IF(H27="TE-F",IFERROR(VLOOKUP(物料汇总表!B27,参考表!A:D,4,FALSE),""),IF(H27="HP61",IFERROR(VLOOKUP(B27,参考表!T:V,2,FALSE),""),IF(OR(H27="RF1",H27="RF2"),IFERROR(VLOOKUP(B27,参考表!N:Q,3,FALSE),IFERROR(VLOOKUP(B27,发运层物料名称参考表!D:G,4,FALSE),"")),IFERROR(VLOOKUP(B27,发运层物料名称参考表!D:H,4,FALSE),IFERROR(VLOOKUP(B27,参考表!N:Q,3,FALSE),"")))))</f>
        <v/>
      </c>
      <c r="X27" s="325"/>
      <c r="Y27" s="326"/>
      <c r="Z27" s="292"/>
      <c r="AA27" s="331" t="str">
        <f t="shared" si="18"/>
        <v/>
      </c>
      <c r="AB27" s="340" t="s">
        <v>98</v>
      </c>
      <c r="AD27" s="44" t="str">
        <f t="shared" si="1"/>
        <v/>
      </c>
      <c r="AE27" s="56"/>
      <c r="AF27" s="49"/>
      <c r="AG27" s="72" t="str">
        <f t="shared" si="2"/>
        <v/>
      </c>
      <c r="AH27" s="73" t="str">
        <f t="shared" si="3"/>
        <v/>
      </c>
      <c r="AI27" s="73" t="str">
        <f t="shared" si="4"/>
        <v/>
      </c>
      <c r="AJ27" s="73" t="str">
        <f t="shared" si="5"/>
        <v/>
      </c>
      <c r="AK27" s="73"/>
      <c r="AL27" s="73" t="str">
        <f t="shared" si="6"/>
        <v/>
      </c>
      <c r="AM27" s="73" t="str">
        <f t="shared" si="7"/>
        <v/>
      </c>
      <c r="AN27" s="74"/>
      <c r="AO27" s="47" t="str">
        <f t="shared" si="8"/>
        <v/>
      </c>
      <c r="AP27" s="73" t="str">
        <f t="shared" si="19"/>
        <v/>
      </c>
      <c r="AQ27" s="47" t="str">
        <f t="shared" si="9"/>
        <v/>
      </c>
      <c r="AR27" s="73" t="str">
        <f t="shared" si="20"/>
        <v/>
      </c>
      <c r="AS27" s="85"/>
      <c r="AT27" s="73" t="str">
        <f t="shared" si="21"/>
        <v/>
      </c>
      <c r="AU27" s="51" t="str">
        <f t="shared" si="10"/>
        <v/>
      </c>
      <c r="AV27" s="73" t="str">
        <f t="shared" si="22"/>
        <v/>
      </c>
      <c r="AW27" s="47" t="str">
        <f t="shared" si="11"/>
        <v/>
      </c>
      <c r="AX27" s="49"/>
      <c r="AY27" s="49"/>
      <c r="AZ27" s="267" t="str">
        <f t="shared" si="23"/>
        <v/>
      </c>
      <c r="BA27" s="267" t="str">
        <f t="shared" si="24"/>
        <v/>
      </c>
      <c r="BB27" s="93" t="str">
        <f t="shared" si="25"/>
        <v/>
      </c>
      <c r="BC27" s="94" t="str">
        <f t="shared" si="26"/>
        <v/>
      </c>
      <c r="BD27" s="95"/>
      <c r="BE27" s="96" t="str">
        <f t="shared" si="27"/>
        <v/>
      </c>
      <c r="BF27" s="94" t="str">
        <f t="shared" si="28"/>
        <v/>
      </c>
      <c r="BG27" s="97"/>
      <c r="BH27" s="97"/>
      <c r="BI27" s="98"/>
      <c r="BJ27" s="97"/>
      <c r="BK27" s="97" t="str">
        <f t="shared" si="29"/>
        <v/>
      </c>
      <c r="BL27" s="97" t="str">
        <f t="shared" si="30"/>
        <v/>
      </c>
      <c r="BM27" s="266" t="str">
        <f t="shared" si="31"/>
        <v/>
      </c>
      <c r="BN27" s="263"/>
      <c r="BO27" s="266" t="str">
        <f t="shared" si="32"/>
        <v/>
      </c>
      <c r="BP27" s="264"/>
      <c r="BQ27" s="264"/>
    </row>
    <row r="28" spans="1:69" s="52" customFormat="1" ht="16.05" customHeight="1">
      <c r="A28" s="237"/>
      <c r="B28" s="237"/>
      <c r="C28" s="254" t="str">
        <f>IF(B28="","",IFERROR(VLOOKUP(物料汇总表!B28,参考表!A:B,2,FALSE),IFERROR(INDEX('[1]Part Name Dictionary'!$C$1:$C$5000,MATCH(B28,'[1]Part Name Dictionary'!$B$1:$B$5000,0)),IFERROR(VLOOKUP(B28,参考表!N:O,2,FALSE),""))))</f>
        <v/>
      </c>
      <c r="D28" s="254" t="str">
        <f t="shared" si="15"/>
        <v/>
      </c>
      <c r="E28" s="237"/>
      <c r="F28" s="235" t="str">
        <f>IF(B28="","",IFERROR(INDEX('[1]Part Name Dictionary'!$V$1:$V$5000,MATCH(B28,'[1]Part Name Dictionary'!$B$1:$B$5000,0)),""))</f>
        <v/>
      </c>
      <c r="G28" s="246"/>
      <c r="H28" s="247"/>
      <c r="I28" s="250" t="str">
        <f t="shared" si="16"/>
        <v/>
      </c>
      <c r="J28" s="251" t="str">
        <f t="shared" si="17"/>
        <v/>
      </c>
      <c r="K28" s="327"/>
      <c r="L28" s="327"/>
      <c r="M28" s="327"/>
      <c r="N28" s="327"/>
      <c r="O28" s="249"/>
      <c r="P28" s="328"/>
      <c r="Q28" s="329"/>
      <c r="R28" s="329"/>
      <c r="S28" s="329"/>
      <c r="T28" s="330"/>
      <c r="U28" s="331" t="str">
        <f>IF(H28="TE-F",IFERROR(VLOOKUP(物料汇总表!B28,参考表!A:D,3,FALSE),""),IF(H28="HP61",IFERROR(VLOOKUP(B28,参考表!T:V,3,FALSE),""),IF(OR(H28="RF1",H28="RF2"),IFERROR(VLOOKUP(B28,参考表!N:Q,4,FALSE),IFERROR(VLOOKUP(B28,发运层物料名称参考表!D:E,3,FALSE),"")),IFERROR(VLOOKUP(B28,发运层物料名称参考表!D:H,2,FALSE),IFERROR(VLOOKUP(B28,参考表!N:Q,4,FALSE),"")))))</f>
        <v/>
      </c>
      <c r="V28" s="331" t="s">
        <v>88</v>
      </c>
      <c r="W28" s="324" t="str">
        <f>IF(H28="TE-F",IFERROR(VLOOKUP(物料汇总表!B28,参考表!A:D,4,FALSE),""),IF(H28="HP61",IFERROR(VLOOKUP(B28,参考表!T:V,2,FALSE),""),IF(OR(H28="RF1",H28="RF2"),IFERROR(VLOOKUP(B28,参考表!N:Q,3,FALSE),IFERROR(VLOOKUP(B28,发运层物料名称参考表!D:G,4,FALSE),"")),IFERROR(VLOOKUP(B28,发运层物料名称参考表!D:H,4,FALSE),IFERROR(VLOOKUP(B28,参考表!N:Q,3,FALSE),"")))))</f>
        <v/>
      </c>
      <c r="X28" s="325"/>
      <c r="Y28" s="326"/>
      <c r="Z28" s="292"/>
      <c r="AA28" s="331" t="str">
        <f t="shared" si="18"/>
        <v/>
      </c>
      <c r="AB28" s="340" t="s">
        <v>98</v>
      </c>
      <c r="AD28" s="44" t="str">
        <f t="shared" si="1"/>
        <v/>
      </c>
      <c r="AE28" s="56"/>
      <c r="AF28" s="49"/>
      <c r="AG28" s="72" t="str">
        <f t="shared" si="2"/>
        <v/>
      </c>
      <c r="AH28" s="73" t="str">
        <f t="shared" si="3"/>
        <v/>
      </c>
      <c r="AI28" s="73" t="str">
        <f t="shared" si="4"/>
        <v/>
      </c>
      <c r="AJ28" s="73" t="str">
        <f t="shared" si="5"/>
        <v/>
      </c>
      <c r="AK28" s="73"/>
      <c r="AL28" s="73" t="str">
        <f t="shared" si="6"/>
        <v/>
      </c>
      <c r="AM28" s="73" t="str">
        <f t="shared" si="7"/>
        <v/>
      </c>
      <c r="AN28" s="74"/>
      <c r="AO28" s="47" t="str">
        <f t="shared" si="8"/>
        <v/>
      </c>
      <c r="AP28" s="73" t="str">
        <f t="shared" si="19"/>
        <v/>
      </c>
      <c r="AQ28" s="47" t="str">
        <f t="shared" si="9"/>
        <v/>
      </c>
      <c r="AR28" s="73" t="str">
        <f t="shared" si="20"/>
        <v/>
      </c>
      <c r="AS28" s="85"/>
      <c r="AT28" s="73" t="str">
        <f t="shared" si="21"/>
        <v/>
      </c>
      <c r="AU28" s="51" t="str">
        <f t="shared" si="10"/>
        <v/>
      </c>
      <c r="AV28" s="73" t="str">
        <f t="shared" si="22"/>
        <v/>
      </c>
      <c r="AW28" s="47" t="str">
        <f t="shared" si="11"/>
        <v/>
      </c>
      <c r="AX28" s="49"/>
      <c r="AY28" s="49"/>
      <c r="AZ28" s="267" t="str">
        <f t="shared" si="23"/>
        <v/>
      </c>
      <c r="BA28" s="267" t="str">
        <f t="shared" si="24"/>
        <v/>
      </c>
      <c r="BB28" s="93" t="str">
        <f t="shared" si="25"/>
        <v/>
      </c>
      <c r="BC28" s="94" t="str">
        <f t="shared" si="26"/>
        <v/>
      </c>
      <c r="BD28" s="95"/>
      <c r="BE28" s="96" t="str">
        <f t="shared" si="27"/>
        <v/>
      </c>
      <c r="BF28" s="94" t="str">
        <f t="shared" si="28"/>
        <v/>
      </c>
      <c r="BG28" s="97"/>
      <c r="BH28" s="97"/>
      <c r="BI28" s="98"/>
      <c r="BJ28" s="97"/>
      <c r="BK28" s="97" t="str">
        <f t="shared" si="29"/>
        <v/>
      </c>
      <c r="BL28" s="97" t="str">
        <f t="shared" si="30"/>
        <v/>
      </c>
      <c r="BM28" s="266" t="str">
        <f t="shared" si="31"/>
        <v/>
      </c>
      <c r="BN28" s="263"/>
      <c r="BO28" s="266" t="str">
        <f t="shared" si="32"/>
        <v/>
      </c>
      <c r="BP28" s="264"/>
      <c r="BQ28" s="264"/>
    </row>
    <row r="29" spans="1:69" s="52" customFormat="1" ht="16.05" customHeight="1">
      <c r="A29" s="237"/>
      <c r="B29" s="237"/>
      <c r="C29" s="254" t="str">
        <f>IF(B29="","",IFERROR(VLOOKUP(物料汇总表!B29,参考表!A:B,2,FALSE),IFERROR(INDEX('[1]Part Name Dictionary'!$C$1:$C$5000,MATCH(B29,'[1]Part Name Dictionary'!$B$1:$B$5000,0)),IFERROR(VLOOKUP(B29,参考表!N:O,2,FALSE),""))))</f>
        <v/>
      </c>
      <c r="D29" s="254" t="str">
        <f t="shared" si="15"/>
        <v/>
      </c>
      <c r="E29" s="237"/>
      <c r="F29" s="235" t="str">
        <f>IF(B29="","",IFERROR(INDEX('[1]Part Name Dictionary'!$V$1:$V$5000,MATCH(B29,'[1]Part Name Dictionary'!$B$1:$B$5000,0)),""))</f>
        <v/>
      </c>
      <c r="G29" s="246"/>
      <c r="H29" s="247"/>
      <c r="I29" s="250" t="str">
        <f t="shared" si="16"/>
        <v/>
      </c>
      <c r="J29" s="251" t="str">
        <f t="shared" si="17"/>
        <v/>
      </c>
      <c r="K29" s="327"/>
      <c r="L29" s="327"/>
      <c r="M29" s="327"/>
      <c r="N29" s="327"/>
      <c r="O29" s="249"/>
      <c r="P29" s="328"/>
      <c r="Q29" s="329"/>
      <c r="R29" s="329"/>
      <c r="S29" s="329"/>
      <c r="T29" s="330"/>
      <c r="U29" s="331" t="str">
        <f>IF(H29="TE-F",IFERROR(VLOOKUP(物料汇总表!B29,参考表!A:D,3,FALSE),""),IF(H29="HP61",IFERROR(VLOOKUP(B29,参考表!T:V,3,FALSE),""),IF(OR(H29="RF1",H29="RF2"),IFERROR(VLOOKUP(B29,参考表!N:Q,4,FALSE),IFERROR(VLOOKUP(B29,发运层物料名称参考表!D:E,3,FALSE),"")),IFERROR(VLOOKUP(B29,发运层物料名称参考表!D:H,2,FALSE),IFERROR(VLOOKUP(B29,参考表!N:Q,4,FALSE),"")))))</f>
        <v/>
      </c>
      <c r="V29" s="331" t="s">
        <v>88</v>
      </c>
      <c r="W29" s="324" t="str">
        <f>IF(H29="TE-F",IFERROR(VLOOKUP(物料汇总表!B29,参考表!A:D,4,FALSE),""),IF(H29="HP61",IFERROR(VLOOKUP(B29,参考表!T:V,2,FALSE),""),IF(OR(H29="RF1",H29="RF2"),IFERROR(VLOOKUP(B29,参考表!N:Q,3,FALSE),IFERROR(VLOOKUP(B29,发运层物料名称参考表!D:G,4,FALSE),"")),IFERROR(VLOOKUP(B29,发运层物料名称参考表!D:H,4,FALSE),IFERROR(VLOOKUP(B29,参考表!N:Q,3,FALSE),"")))))</f>
        <v/>
      </c>
      <c r="X29" s="325"/>
      <c r="Y29" s="326"/>
      <c r="Z29" s="292"/>
      <c r="AA29" s="331" t="str">
        <f t="shared" si="18"/>
        <v/>
      </c>
      <c r="AB29" s="340" t="s">
        <v>98</v>
      </c>
      <c r="AD29" s="44" t="str">
        <f t="shared" si="1"/>
        <v/>
      </c>
      <c r="AE29" s="56"/>
      <c r="AF29" s="49"/>
      <c r="AG29" s="72" t="str">
        <f t="shared" si="2"/>
        <v/>
      </c>
      <c r="AH29" s="73" t="str">
        <f t="shared" si="3"/>
        <v/>
      </c>
      <c r="AI29" s="73" t="str">
        <f t="shared" si="4"/>
        <v/>
      </c>
      <c r="AJ29" s="73" t="str">
        <f t="shared" si="5"/>
        <v/>
      </c>
      <c r="AK29" s="73"/>
      <c r="AL29" s="73" t="str">
        <f t="shared" si="6"/>
        <v/>
      </c>
      <c r="AM29" s="73" t="str">
        <f t="shared" si="7"/>
        <v/>
      </c>
      <c r="AN29" s="74"/>
      <c r="AO29" s="47" t="str">
        <f t="shared" si="8"/>
        <v/>
      </c>
      <c r="AP29" s="73" t="str">
        <f t="shared" si="19"/>
        <v/>
      </c>
      <c r="AQ29" s="47" t="str">
        <f t="shared" si="9"/>
        <v/>
      </c>
      <c r="AR29" s="73" t="str">
        <f t="shared" si="20"/>
        <v/>
      </c>
      <c r="AS29" s="85"/>
      <c r="AT29" s="73" t="str">
        <f t="shared" si="21"/>
        <v/>
      </c>
      <c r="AU29" s="51" t="str">
        <f t="shared" si="10"/>
        <v/>
      </c>
      <c r="AV29" s="73" t="str">
        <f t="shared" si="22"/>
        <v/>
      </c>
      <c r="AW29" s="47" t="str">
        <f t="shared" si="11"/>
        <v/>
      </c>
      <c r="AX29" s="49"/>
      <c r="AY29" s="49"/>
      <c r="AZ29" s="267" t="str">
        <f t="shared" si="23"/>
        <v/>
      </c>
      <c r="BA29" s="267" t="str">
        <f t="shared" si="24"/>
        <v/>
      </c>
      <c r="BB29" s="93" t="str">
        <f t="shared" si="25"/>
        <v/>
      </c>
      <c r="BC29" s="94" t="str">
        <f t="shared" si="26"/>
        <v/>
      </c>
      <c r="BD29" s="95"/>
      <c r="BE29" s="96" t="str">
        <f t="shared" si="27"/>
        <v/>
      </c>
      <c r="BF29" s="94" t="str">
        <f t="shared" si="28"/>
        <v/>
      </c>
      <c r="BG29" s="97"/>
      <c r="BH29" s="97"/>
      <c r="BI29" s="98"/>
      <c r="BJ29" s="97"/>
      <c r="BK29" s="97" t="str">
        <f t="shared" si="29"/>
        <v/>
      </c>
      <c r="BL29" s="97" t="str">
        <f t="shared" si="30"/>
        <v/>
      </c>
      <c r="BM29" s="266" t="str">
        <f t="shared" si="31"/>
        <v/>
      </c>
      <c r="BN29" s="263"/>
      <c r="BO29" s="266" t="str">
        <f t="shared" si="32"/>
        <v/>
      </c>
      <c r="BP29" s="264"/>
      <c r="BQ29" s="264"/>
    </row>
    <row r="30" spans="1:69" s="52" customFormat="1" ht="16.05" customHeight="1">
      <c r="A30" s="237"/>
      <c r="B30" s="237"/>
      <c r="C30" s="254" t="str">
        <f>IF(B30="","",IFERROR(VLOOKUP(物料汇总表!B30,参考表!A:B,2,FALSE),IFERROR(INDEX('[1]Part Name Dictionary'!$C$1:$C$5000,MATCH(B30,'[1]Part Name Dictionary'!$B$1:$B$5000,0)),IFERROR(VLOOKUP(B30,参考表!N:O,2,FALSE),""))))</f>
        <v/>
      </c>
      <c r="D30" s="254" t="str">
        <f t="shared" si="15"/>
        <v/>
      </c>
      <c r="E30" s="237"/>
      <c r="F30" s="235" t="str">
        <f>IF(B30="","",IFERROR(INDEX('[1]Part Name Dictionary'!$V$1:$V$5000,MATCH(B30,'[1]Part Name Dictionary'!$B$1:$B$5000,0)),""))</f>
        <v/>
      </c>
      <c r="G30" s="246"/>
      <c r="H30" s="247"/>
      <c r="I30" s="250" t="str">
        <f t="shared" si="16"/>
        <v/>
      </c>
      <c r="J30" s="251" t="str">
        <f t="shared" si="17"/>
        <v/>
      </c>
      <c r="K30" s="327"/>
      <c r="L30" s="327"/>
      <c r="M30" s="327"/>
      <c r="N30" s="327"/>
      <c r="O30" s="249"/>
      <c r="P30" s="328"/>
      <c r="Q30" s="329"/>
      <c r="R30" s="329"/>
      <c r="S30" s="329"/>
      <c r="T30" s="330"/>
      <c r="U30" s="331" t="str">
        <f>IF(H30="TE-F",IFERROR(VLOOKUP(物料汇总表!B30,参考表!A:D,3,FALSE),""),IF(H30="HP61",IFERROR(VLOOKUP(B30,参考表!T:V,3,FALSE),""),IF(OR(H30="RF1",H30="RF2"),IFERROR(VLOOKUP(B30,参考表!N:Q,4,FALSE),IFERROR(VLOOKUP(B30,发运层物料名称参考表!D:E,3,FALSE),"")),IFERROR(VLOOKUP(B30,发运层物料名称参考表!D:H,2,FALSE),IFERROR(VLOOKUP(B30,参考表!N:Q,4,FALSE),"")))))</f>
        <v/>
      </c>
      <c r="V30" s="331" t="s">
        <v>88</v>
      </c>
      <c r="W30" s="324" t="str">
        <f>IF(H30="TE-F",IFERROR(VLOOKUP(物料汇总表!B30,参考表!A:D,4,FALSE),""),IF(H30="HP61",IFERROR(VLOOKUP(B30,参考表!T:V,2,FALSE),""),IF(OR(H30="RF1",H30="RF2"),IFERROR(VLOOKUP(B30,参考表!N:Q,3,FALSE),IFERROR(VLOOKUP(B30,发运层物料名称参考表!D:G,4,FALSE),"")),IFERROR(VLOOKUP(B30,发运层物料名称参考表!D:H,4,FALSE),IFERROR(VLOOKUP(B30,参考表!N:Q,3,FALSE),"")))))</f>
        <v/>
      </c>
      <c r="X30" s="325"/>
      <c r="Y30" s="326"/>
      <c r="Z30" s="292"/>
      <c r="AA30" s="331" t="str">
        <f t="shared" si="18"/>
        <v/>
      </c>
      <c r="AB30" s="340" t="s">
        <v>98</v>
      </c>
      <c r="AD30" s="44" t="str">
        <f t="shared" si="1"/>
        <v/>
      </c>
      <c r="AE30" s="56"/>
      <c r="AF30" s="49"/>
      <c r="AG30" s="72" t="str">
        <f t="shared" si="2"/>
        <v/>
      </c>
      <c r="AH30" s="73" t="str">
        <f t="shared" si="3"/>
        <v/>
      </c>
      <c r="AI30" s="73" t="str">
        <f t="shared" si="4"/>
        <v/>
      </c>
      <c r="AJ30" s="73" t="str">
        <f t="shared" si="5"/>
        <v/>
      </c>
      <c r="AK30" s="73"/>
      <c r="AL30" s="73" t="str">
        <f t="shared" si="6"/>
        <v/>
      </c>
      <c r="AM30" s="73" t="str">
        <f t="shared" si="7"/>
        <v/>
      </c>
      <c r="AN30" s="74"/>
      <c r="AO30" s="47" t="str">
        <f t="shared" si="8"/>
        <v/>
      </c>
      <c r="AP30" s="73" t="str">
        <f t="shared" si="19"/>
        <v/>
      </c>
      <c r="AQ30" s="47" t="str">
        <f t="shared" si="9"/>
        <v/>
      </c>
      <c r="AR30" s="73" t="str">
        <f t="shared" si="20"/>
        <v/>
      </c>
      <c r="AS30" s="85"/>
      <c r="AT30" s="73" t="str">
        <f t="shared" si="21"/>
        <v/>
      </c>
      <c r="AU30" s="51" t="str">
        <f t="shared" si="10"/>
        <v/>
      </c>
      <c r="AV30" s="73" t="str">
        <f t="shared" si="22"/>
        <v/>
      </c>
      <c r="AW30" s="47" t="str">
        <f t="shared" si="11"/>
        <v/>
      </c>
      <c r="AX30" s="49"/>
      <c r="AY30" s="49"/>
      <c r="AZ30" s="267" t="str">
        <f t="shared" si="23"/>
        <v/>
      </c>
      <c r="BA30" s="267" t="str">
        <f t="shared" si="24"/>
        <v/>
      </c>
      <c r="BB30" s="93" t="str">
        <f t="shared" si="25"/>
        <v/>
      </c>
      <c r="BC30" s="94" t="str">
        <f t="shared" si="26"/>
        <v/>
      </c>
      <c r="BD30" s="95"/>
      <c r="BE30" s="96" t="str">
        <f t="shared" si="27"/>
        <v/>
      </c>
      <c r="BF30" s="94" t="str">
        <f t="shared" si="28"/>
        <v/>
      </c>
      <c r="BG30" s="97"/>
      <c r="BH30" s="97"/>
      <c r="BI30" s="98"/>
      <c r="BJ30" s="97"/>
      <c r="BK30" s="97" t="str">
        <f t="shared" si="29"/>
        <v/>
      </c>
      <c r="BL30" s="97" t="str">
        <f t="shared" si="30"/>
        <v/>
      </c>
      <c r="BM30" s="266" t="str">
        <f t="shared" si="31"/>
        <v/>
      </c>
      <c r="BN30" s="263"/>
      <c r="BO30" s="266" t="str">
        <f t="shared" si="32"/>
        <v/>
      </c>
      <c r="BP30" s="264"/>
      <c r="BQ30" s="264"/>
    </row>
    <row r="31" spans="1:69" s="52" customFormat="1" ht="16.05" customHeight="1">
      <c r="A31" s="237"/>
      <c r="B31" s="237"/>
      <c r="C31" s="254" t="str">
        <f>IF(B31="","",IFERROR(VLOOKUP(物料汇总表!B31,参考表!A:B,2,FALSE),IFERROR(INDEX('[1]Part Name Dictionary'!$C$1:$C$5000,MATCH(B31,'[1]Part Name Dictionary'!$B$1:$B$5000,0)),IFERROR(VLOOKUP(B31,参考表!N:O,2,FALSE),""))))</f>
        <v/>
      </c>
      <c r="D31" s="254" t="str">
        <f t="shared" si="15"/>
        <v/>
      </c>
      <c r="E31" s="237"/>
      <c r="F31" s="235" t="str">
        <f>IF(B31="","",IFERROR(INDEX('[1]Part Name Dictionary'!$V$1:$V$5000,MATCH(B31,'[1]Part Name Dictionary'!$B$1:$B$5000,0)),""))</f>
        <v/>
      </c>
      <c r="G31" s="246"/>
      <c r="H31" s="247"/>
      <c r="I31" s="250" t="str">
        <f t="shared" si="16"/>
        <v/>
      </c>
      <c r="J31" s="251" t="str">
        <f t="shared" si="17"/>
        <v/>
      </c>
      <c r="K31" s="327"/>
      <c r="L31" s="327"/>
      <c r="M31" s="327"/>
      <c r="N31" s="327"/>
      <c r="O31" s="249"/>
      <c r="P31" s="328"/>
      <c r="Q31" s="329"/>
      <c r="R31" s="329"/>
      <c r="S31" s="329"/>
      <c r="T31" s="330"/>
      <c r="U31" s="331" t="str">
        <f>IF(H31="TE-F",IFERROR(VLOOKUP(物料汇总表!B31,参考表!A:D,3,FALSE),""),IF(H31="HP61",IFERROR(VLOOKUP(B31,参考表!T:V,3,FALSE),""),IF(OR(H31="RF1",H31="RF2"),IFERROR(VLOOKUP(B31,参考表!N:Q,4,FALSE),IFERROR(VLOOKUP(B31,发运层物料名称参考表!D:E,3,FALSE),"")),IFERROR(VLOOKUP(B31,发运层物料名称参考表!D:H,2,FALSE),IFERROR(VLOOKUP(B31,参考表!N:Q,4,FALSE),"")))))</f>
        <v/>
      </c>
      <c r="V31" s="331" t="s">
        <v>88</v>
      </c>
      <c r="W31" s="324" t="str">
        <f>IF(H31="TE-F",IFERROR(VLOOKUP(物料汇总表!B31,参考表!A:D,4,FALSE),""),IF(H31="HP61",IFERROR(VLOOKUP(B31,参考表!T:V,2,FALSE),""),IF(OR(H31="RF1",H31="RF2"),IFERROR(VLOOKUP(B31,参考表!N:Q,3,FALSE),IFERROR(VLOOKUP(B31,发运层物料名称参考表!D:G,4,FALSE),"")),IFERROR(VLOOKUP(B31,发运层物料名称参考表!D:H,4,FALSE),IFERROR(VLOOKUP(B31,参考表!N:Q,3,FALSE),"")))))</f>
        <v/>
      </c>
      <c r="X31" s="325"/>
      <c r="Y31" s="326"/>
      <c r="Z31" s="292"/>
      <c r="AA31" s="331" t="str">
        <f t="shared" si="18"/>
        <v/>
      </c>
      <c r="AB31" s="340" t="s">
        <v>98</v>
      </c>
      <c r="AD31" s="44" t="str">
        <f t="shared" si="1"/>
        <v/>
      </c>
      <c r="AE31" s="56"/>
      <c r="AF31" s="49"/>
      <c r="AG31" s="72" t="str">
        <f t="shared" si="2"/>
        <v/>
      </c>
      <c r="AH31" s="73" t="str">
        <f t="shared" si="3"/>
        <v/>
      </c>
      <c r="AI31" s="73" t="str">
        <f t="shared" si="4"/>
        <v/>
      </c>
      <c r="AJ31" s="73" t="str">
        <f t="shared" si="5"/>
        <v/>
      </c>
      <c r="AK31" s="73"/>
      <c r="AL31" s="73" t="str">
        <f t="shared" si="6"/>
        <v/>
      </c>
      <c r="AM31" s="73" t="str">
        <f t="shared" si="7"/>
        <v/>
      </c>
      <c r="AN31" s="74"/>
      <c r="AO31" s="47" t="str">
        <f t="shared" si="8"/>
        <v/>
      </c>
      <c r="AP31" s="73" t="str">
        <f t="shared" si="19"/>
        <v/>
      </c>
      <c r="AQ31" s="47" t="str">
        <f t="shared" si="9"/>
        <v/>
      </c>
      <c r="AR31" s="73" t="str">
        <f t="shared" si="20"/>
        <v/>
      </c>
      <c r="AS31" s="85"/>
      <c r="AT31" s="73" t="str">
        <f t="shared" si="21"/>
        <v/>
      </c>
      <c r="AU31" s="51" t="str">
        <f t="shared" si="10"/>
        <v/>
      </c>
      <c r="AV31" s="73" t="str">
        <f t="shared" si="22"/>
        <v/>
      </c>
      <c r="AW31" s="47" t="str">
        <f t="shared" si="11"/>
        <v/>
      </c>
      <c r="AX31" s="49"/>
      <c r="AY31" s="49"/>
      <c r="AZ31" s="267" t="str">
        <f t="shared" si="23"/>
        <v/>
      </c>
      <c r="BA31" s="267" t="str">
        <f t="shared" si="24"/>
        <v/>
      </c>
      <c r="BB31" s="93" t="str">
        <f t="shared" si="25"/>
        <v/>
      </c>
      <c r="BC31" s="94" t="str">
        <f t="shared" si="26"/>
        <v/>
      </c>
      <c r="BD31" s="95"/>
      <c r="BE31" s="96" t="str">
        <f t="shared" si="27"/>
        <v/>
      </c>
      <c r="BF31" s="94" t="str">
        <f t="shared" si="28"/>
        <v/>
      </c>
      <c r="BG31" s="97"/>
      <c r="BH31" s="97"/>
      <c r="BI31" s="98"/>
      <c r="BJ31" s="97"/>
      <c r="BK31" s="97" t="str">
        <f t="shared" si="29"/>
        <v/>
      </c>
      <c r="BL31" s="97" t="str">
        <f t="shared" si="30"/>
        <v/>
      </c>
      <c r="BM31" s="266" t="str">
        <f t="shared" si="31"/>
        <v/>
      </c>
      <c r="BN31" s="263"/>
      <c r="BO31" s="266" t="str">
        <f t="shared" si="32"/>
        <v/>
      </c>
      <c r="BP31" s="264"/>
      <c r="BQ31" s="264"/>
    </row>
    <row r="32" spans="1:69" s="52" customFormat="1" ht="16.05" customHeight="1">
      <c r="A32" s="237"/>
      <c r="B32" s="237"/>
      <c r="C32" s="254" t="str">
        <f>IF(B32="","",IFERROR(VLOOKUP(物料汇总表!B32,参考表!A:B,2,FALSE),IFERROR(INDEX('[1]Part Name Dictionary'!$C$1:$C$5000,MATCH(B32,'[1]Part Name Dictionary'!$B$1:$B$5000,0)),IFERROR(VLOOKUP(B32,参考表!N:O,2,FALSE),""))))</f>
        <v/>
      </c>
      <c r="D32" s="254" t="str">
        <f t="shared" si="15"/>
        <v/>
      </c>
      <c r="E32" s="237"/>
      <c r="F32" s="235" t="str">
        <f>IF(B32="","",IFERROR(INDEX('[1]Part Name Dictionary'!$V$1:$V$5000,MATCH(B32,'[1]Part Name Dictionary'!$B$1:$B$5000,0)),""))</f>
        <v/>
      </c>
      <c r="G32" s="246"/>
      <c r="H32" s="247"/>
      <c r="I32" s="250" t="str">
        <f t="shared" si="16"/>
        <v/>
      </c>
      <c r="J32" s="251" t="str">
        <f t="shared" si="17"/>
        <v/>
      </c>
      <c r="K32" s="327"/>
      <c r="L32" s="327"/>
      <c r="M32" s="327"/>
      <c r="N32" s="327"/>
      <c r="O32" s="249"/>
      <c r="P32" s="328"/>
      <c r="Q32" s="329"/>
      <c r="R32" s="329"/>
      <c r="S32" s="329"/>
      <c r="T32" s="330"/>
      <c r="U32" s="331" t="str">
        <f>IF(H32="TE-F",IFERROR(VLOOKUP(物料汇总表!B32,参考表!A:D,3,FALSE),""),IF(H32="HP61",IFERROR(VLOOKUP(B32,参考表!T:V,3,FALSE),""),IF(OR(H32="RF1",H32="RF2"),IFERROR(VLOOKUP(B32,参考表!N:Q,4,FALSE),IFERROR(VLOOKUP(B32,发运层物料名称参考表!D:E,3,FALSE),"")),IFERROR(VLOOKUP(B32,发运层物料名称参考表!D:H,2,FALSE),IFERROR(VLOOKUP(B32,参考表!N:Q,4,FALSE),"")))))</f>
        <v/>
      </c>
      <c r="V32" s="331" t="s">
        <v>88</v>
      </c>
      <c r="W32" s="324" t="str">
        <f>IF(H32="TE-F",IFERROR(VLOOKUP(物料汇总表!B32,参考表!A:D,4,FALSE),""),IF(H32="HP61",IFERROR(VLOOKUP(B32,参考表!T:V,2,FALSE),""),IF(OR(H32="RF1",H32="RF2"),IFERROR(VLOOKUP(B32,参考表!N:Q,3,FALSE),IFERROR(VLOOKUP(B32,发运层物料名称参考表!D:G,4,FALSE),"")),IFERROR(VLOOKUP(B32,发运层物料名称参考表!D:H,4,FALSE),IFERROR(VLOOKUP(B32,参考表!N:Q,3,FALSE),"")))))</f>
        <v/>
      </c>
      <c r="X32" s="325"/>
      <c r="Y32" s="326"/>
      <c r="Z32" s="292"/>
      <c r="AA32" s="331" t="str">
        <f t="shared" si="18"/>
        <v/>
      </c>
      <c r="AB32" s="340" t="s">
        <v>98</v>
      </c>
      <c r="AD32" s="44" t="str">
        <f t="shared" si="1"/>
        <v/>
      </c>
      <c r="AE32" s="56"/>
      <c r="AF32" s="49"/>
      <c r="AG32" s="72" t="str">
        <f t="shared" si="2"/>
        <v/>
      </c>
      <c r="AH32" s="73" t="str">
        <f t="shared" si="3"/>
        <v/>
      </c>
      <c r="AI32" s="73" t="str">
        <f t="shared" si="4"/>
        <v/>
      </c>
      <c r="AJ32" s="73" t="str">
        <f t="shared" si="5"/>
        <v/>
      </c>
      <c r="AK32" s="73"/>
      <c r="AL32" s="73" t="str">
        <f t="shared" si="6"/>
        <v/>
      </c>
      <c r="AM32" s="73" t="str">
        <f t="shared" si="7"/>
        <v/>
      </c>
      <c r="AN32" s="74"/>
      <c r="AO32" s="47" t="str">
        <f t="shared" si="8"/>
        <v/>
      </c>
      <c r="AP32" s="73" t="str">
        <f t="shared" si="19"/>
        <v/>
      </c>
      <c r="AQ32" s="47" t="str">
        <f t="shared" si="9"/>
        <v/>
      </c>
      <c r="AR32" s="73" t="str">
        <f t="shared" si="20"/>
        <v/>
      </c>
      <c r="AS32" s="85"/>
      <c r="AT32" s="73" t="str">
        <f t="shared" si="21"/>
        <v/>
      </c>
      <c r="AU32" s="51" t="str">
        <f t="shared" si="10"/>
        <v/>
      </c>
      <c r="AV32" s="73" t="str">
        <f t="shared" si="22"/>
        <v/>
      </c>
      <c r="AW32" s="47" t="str">
        <f t="shared" si="11"/>
        <v/>
      </c>
      <c r="AX32" s="49"/>
      <c r="AY32" s="49"/>
      <c r="AZ32" s="267" t="str">
        <f t="shared" si="23"/>
        <v/>
      </c>
      <c r="BA32" s="267" t="str">
        <f t="shared" si="24"/>
        <v/>
      </c>
      <c r="BB32" s="93" t="str">
        <f t="shared" si="25"/>
        <v/>
      </c>
      <c r="BC32" s="94" t="str">
        <f t="shared" si="26"/>
        <v/>
      </c>
      <c r="BD32" s="95"/>
      <c r="BE32" s="96" t="str">
        <f t="shared" si="27"/>
        <v/>
      </c>
      <c r="BF32" s="94" t="str">
        <f t="shared" si="28"/>
        <v/>
      </c>
      <c r="BG32" s="97"/>
      <c r="BH32" s="97"/>
      <c r="BI32" s="98"/>
      <c r="BJ32" s="97"/>
      <c r="BK32" s="97" t="str">
        <f t="shared" si="29"/>
        <v/>
      </c>
      <c r="BL32" s="97" t="str">
        <f t="shared" si="30"/>
        <v/>
      </c>
      <c r="BM32" s="266" t="str">
        <f t="shared" si="31"/>
        <v/>
      </c>
      <c r="BN32" s="263"/>
      <c r="BO32" s="266" t="str">
        <f t="shared" si="32"/>
        <v/>
      </c>
      <c r="BP32" s="264"/>
      <c r="BQ32" s="264"/>
    </row>
    <row r="33" spans="1:69" s="52" customFormat="1" ht="16.05" customHeight="1">
      <c r="A33" s="237"/>
      <c r="B33" s="237"/>
      <c r="C33" s="254" t="str">
        <f>IF(B33="","",IFERROR(VLOOKUP(物料汇总表!B33,参考表!A:B,2,FALSE),IFERROR(INDEX('[1]Part Name Dictionary'!$C$1:$C$5000,MATCH(B33,'[1]Part Name Dictionary'!$B$1:$B$5000,0)),IFERROR(VLOOKUP(B33,参考表!N:O,2,FALSE),""))))</f>
        <v/>
      </c>
      <c r="D33" s="254" t="str">
        <f t="shared" si="15"/>
        <v/>
      </c>
      <c r="E33" s="237"/>
      <c r="F33" s="235" t="str">
        <f>IF(B33="","",IFERROR(INDEX('[1]Part Name Dictionary'!$V$1:$V$5000,MATCH(B33,'[1]Part Name Dictionary'!$B$1:$B$5000,0)),""))</f>
        <v/>
      </c>
      <c r="G33" s="246"/>
      <c r="H33" s="247"/>
      <c r="I33" s="250" t="str">
        <f t="shared" si="16"/>
        <v/>
      </c>
      <c r="J33" s="251" t="str">
        <f t="shared" si="17"/>
        <v/>
      </c>
      <c r="K33" s="327"/>
      <c r="L33" s="327"/>
      <c r="M33" s="327"/>
      <c r="N33" s="327"/>
      <c r="O33" s="249"/>
      <c r="P33" s="328"/>
      <c r="Q33" s="329"/>
      <c r="R33" s="329"/>
      <c r="S33" s="329"/>
      <c r="T33" s="330"/>
      <c r="U33" s="331" t="str">
        <f>IF(H33="TE-F",IFERROR(VLOOKUP(物料汇总表!B33,参考表!A:D,3,FALSE),""),IF(H33="HP61",IFERROR(VLOOKUP(B33,参考表!T:V,3,FALSE),""),IF(OR(H33="RF1",H33="RF2"),IFERROR(VLOOKUP(B33,参考表!N:Q,4,FALSE),IFERROR(VLOOKUP(B33,发运层物料名称参考表!D:E,3,FALSE),"")),IFERROR(VLOOKUP(B33,发运层物料名称参考表!D:H,2,FALSE),IFERROR(VLOOKUP(B33,参考表!N:Q,4,FALSE),"")))))</f>
        <v/>
      </c>
      <c r="V33" s="331" t="s">
        <v>88</v>
      </c>
      <c r="W33" s="324" t="str">
        <f>IF(H33="TE-F",IFERROR(VLOOKUP(物料汇总表!B33,参考表!A:D,4,FALSE),""),IF(H33="HP61",IFERROR(VLOOKUP(B33,参考表!T:V,2,FALSE),""),IF(OR(H33="RF1",H33="RF2"),IFERROR(VLOOKUP(B33,参考表!N:Q,3,FALSE),IFERROR(VLOOKUP(B33,发运层物料名称参考表!D:G,4,FALSE),"")),IFERROR(VLOOKUP(B33,发运层物料名称参考表!D:H,4,FALSE),IFERROR(VLOOKUP(B33,参考表!N:Q,3,FALSE),"")))))</f>
        <v/>
      </c>
      <c r="X33" s="325"/>
      <c r="Y33" s="326"/>
      <c r="Z33" s="292"/>
      <c r="AA33" s="331" t="str">
        <f t="shared" si="18"/>
        <v/>
      </c>
      <c r="AB33" s="340" t="s">
        <v>98</v>
      </c>
      <c r="AD33" s="44" t="str">
        <f t="shared" si="1"/>
        <v/>
      </c>
      <c r="AE33" s="56"/>
      <c r="AF33" s="49"/>
      <c r="AG33" s="72" t="str">
        <f t="shared" si="2"/>
        <v/>
      </c>
      <c r="AH33" s="73" t="str">
        <f t="shared" si="3"/>
        <v/>
      </c>
      <c r="AI33" s="73" t="str">
        <f t="shared" si="4"/>
        <v/>
      </c>
      <c r="AJ33" s="73" t="str">
        <f t="shared" si="5"/>
        <v/>
      </c>
      <c r="AK33" s="73"/>
      <c r="AL33" s="73" t="str">
        <f t="shared" si="6"/>
        <v/>
      </c>
      <c r="AM33" s="73" t="str">
        <f t="shared" si="7"/>
        <v/>
      </c>
      <c r="AN33" s="74"/>
      <c r="AO33" s="47" t="str">
        <f t="shared" si="8"/>
        <v/>
      </c>
      <c r="AP33" s="73" t="str">
        <f t="shared" si="19"/>
        <v/>
      </c>
      <c r="AQ33" s="47" t="str">
        <f t="shared" si="9"/>
        <v/>
      </c>
      <c r="AR33" s="73" t="str">
        <f t="shared" si="20"/>
        <v/>
      </c>
      <c r="AS33" s="85"/>
      <c r="AT33" s="73" t="str">
        <f t="shared" si="21"/>
        <v/>
      </c>
      <c r="AU33" s="51" t="str">
        <f t="shared" si="10"/>
        <v/>
      </c>
      <c r="AV33" s="73" t="str">
        <f t="shared" si="22"/>
        <v/>
      </c>
      <c r="AW33" s="47" t="str">
        <f t="shared" si="11"/>
        <v/>
      </c>
      <c r="AX33" s="49"/>
      <c r="AY33" s="49"/>
      <c r="AZ33" s="267" t="str">
        <f t="shared" si="23"/>
        <v/>
      </c>
      <c r="BA33" s="267" t="str">
        <f t="shared" si="24"/>
        <v/>
      </c>
      <c r="BB33" s="93" t="str">
        <f t="shared" si="25"/>
        <v/>
      </c>
      <c r="BC33" s="94" t="str">
        <f t="shared" si="26"/>
        <v/>
      </c>
      <c r="BD33" s="95"/>
      <c r="BE33" s="96" t="str">
        <f t="shared" si="27"/>
        <v/>
      </c>
      <c r="BF33" s="94" t="str">
        <f t="shared" si="28"/>
        <v/>
      </c>
      <c r="BG33" s="97"/>
      <c r="BH33" s="97"/>
      <c r="BI33" s="98"/>
      <c r="BJ33" s="97"/>
      <c r="BK33" s="97" t="str">
        <f t="shared" si="29"/>
        <v/>
      </c>
      <c r="BL33" s="97" t="str">
        <f t="shared" si="30"/>
        <v/>
      </c>
      <c r="BM33" s="266" t="str">
        <f t="shared" si="31"/>
        <v/>
      </c>
      <c r="BN33" s="263"/>
      <c r="BO33" s="266" t="str">
        <f t="shared" si="32"/>
        <v/>
      </c>
      <c r="BP33" s="264"/>
      <c r="BQ33" s="264"/>
    </row>
    <row r="34" spans="1:69" s="52" customFormat="1" ht="16.05" customHeight="1">
      <c r="A34" s="237"/>
      <c r="B34" s="237"/>
      <c r="C34" s="254" t="str">
        <f>IF(B34="","",IFERROR(VLOOKUP(物料汇总表!B34,参考表!A:B,2,FALSE),IFERROR(INDEX('[1]Part Name Dictionary'!$C$1:$C$5000,MATCH(B34,'[1]Part Name Dictionary'!$B$1:$B$5000,0)),IFERROR(VLOOKUP(B34,参考表!N:O,2,FALSE),""))))</f>
        <v/>
      </c>
      <c r="D34" s="254" t="str">
        <f t="shared" si="15"/>
        <v/>
      </c>
      <c r="E34" s="237"/>
      <c r="F34" s="235" t="str">
        <f>IF(B34="","",IFERROR(INDEX('[1]Part Name Dictionary'!$V$1:$V$5000,MATCH(B34,'[1]Part Name Dictionary'!$B$1:$B$5000,0)),""))</f>
        <v/>
      </c>
      <c r="G34" s="246"/>
      <c r="H34" s="247"/>
      <c r="I34" s="250" t="str">
        <f t="shared" si="16"/>
        <v/>
      </c>
      <c r="J34" s="251" t="str">
        <f t="shared" si="17"/>
        <v/>
      </c>
      <c r="K34" s="327"/>
      <c r="L34" s="327"/>
      <c r="M34" s="327"/>
      <c r="N34" s="327"/>
      <c r="O34" s="249"/>
      <c r="P34" s="328"/>
      <c r="Q34" s="329"/>
      <c r="R34" s="329"/>
      <c r="S34" s="329"/>
      <c r="T34" s="330"/>
      <c r="U34" s="331" t="str">
        <f>IF(H34="TE-F",IFERROR(VLOOKUP(物料汇总表!B34,参考表!A:D,3,FALSE),""),IF(H34="HP61",IFERROR(VLOOKUP(B34,参考表!T:V,3,FALSE),""),IF(OR(H34="RF1",H34="RF2"),IFERROR(VLOOKUP(B34,参考表!N:Q,4,FALSE),IFERROR(VLOOKUP(B34,发运层物料名称参考表!D:E,3,FALSE),"")),IFERROR(VLOOKUP(B34,发运层物料名称参考表!D:H,2,FALSE),IFERROR(VLOOKUP(B34,参考表!N:Q,4,FALSE),"")))))</f>
        <v/>
      </c>
      <c r="V34" s="331" t="s">
        <v>88</v>
      </c>
      <c r="W34" s="324" t="str">
        <f>IF(H34="TE-F",IFERROR(VLOOKUP(物料汇总表!B34,参考表!A:D,4,FALSE),""),IF(H34="HP61",IFERROR(VLOOKUP(B34,参考表!T:V,2,FALSE),""),IF(OR(H34="RF1",H34="RF2"),IFERROR(VLOOKUP(B34,参考表!N:Q,3,FALSE),IFERROR(VLOOKUP(B34,发运层物料名称参考表!D:G,4,FALSE),"")),IFERROR(VLOOKUP(B34,发运层物料名称参考表!D:H,4,FALSE),IFERROR(VLOOKUP(B34,参考表!N:Q,3,FALSE),"")))))</f>
        <v/>
      </c>
      <c r="X34" s="325"/>
      <c r="Y34" s="326"/>
      <c r="Z34" s="292"/>
      <c r="AA34" s="331" t="str">
        <f t="shared" si="18"/>
        <v/>
      </c>
      <c r="AB34" s="340" t="s">
        <v>98</v>
      </c>
      <c r="AD34" s="44" t="str">
        <f t="shared" si="1"/>
        <v/>
      </c>
      <c r="AE34" s="56"/>
      <c r="AF34" s="49"/>
      <c r="AG34" s="72" t="str">
        <f t="shared" si="2"/>
        <v/>
      </c>
      <c r="AH34" s="73" t="str">
        <f t="shared" si="3"/>
        <v/>
      </c>
      <c r="AI34" s="73" t="str">
        <f t="shared" si="4"/>
        <v/>
      </c>
      <c r="AJ34" s="73" t="str">
        <f t="shared" si="5"/>
        <v/>
      </c>
      <c r="AK34" s="73"/>
      <c r="AL34" s="73" t="str">
        <f t="shared" si="6"/>
        <v/>
      </c>
      <c r="AM34" s="73" t="str">
        <f t="shared" si="7"/>
        <v/>
      </c>
      <c r="AN34" s="74"/>
      <c r="AO34" s="47" t="str">
        <f t="shared" si="8"/>
        <v/>
      </c>
      <c r="AP34" s="73" t="str">
        <f t="shared" si="19"/>
        <v/>
      </c>
      <c r="AQ34" s="47" t="str">
        <f t="shared" si="9"/>
        <v/>
      </c>
      <c r="AR34" s="73" t="str">
        <f t="shared" si="20"/>
        <v/>
      </c>
      <c r="AS34" s="85"/>
      <c r="AT34" s="73" t="str">
        <f t="shared" si="21"/>
        <v/>
      </c>
      <c r="AU34" s="51" t="str">
        <f t="shared" si="10"/>
        <v/>
      </c>
      <c r="AV34" s="73" t="str">
        <f t="shared" si="22"/>
        <v/>
      </c>
      <c r="AW34" s="47" t="str">
        <f t="shared" si="11"/>
        <v/>
      </c>
      <c r="AX34" s="49"/>
      <c r="AY34" s="49"/>
      <c r="AZ34" s="267" t="str">
        <f t="shared" si="23"/>
        <v/>
      </c>
      <c r="BA34" s="267" t="str">
        <f t="shared" si="24"/>
        <v/>
      </c>
      <c r="BB34" s="93" t="str">
        <f t="shared" si="25"/>
        <v/>
      </c>
      <c r="BC34" s="94" t="str">
        <f t="shared" si="26"/>
        <v/>
      </c>
      <c r="BD34" s="95"/>
      <c r="BE34" s="96" t="str">
        <f t="shared" si="27"/>
        <v/>
      </c>
      <c r="BF34" s="94" t="str">
        <f t="shared" si="28"/>
        <v/>
      </c>
      <c r="BG34" s="97"/>
      <c r="BH34" s="97"/>
      <c r="BI34" s="98"/>
      <c r="BJ34" s="97"/>
      <c r="BK34" s="97" t="str">
        <f t="shared" si="29"/>
        <v/>
      </c>
      <c r="BL34" s="97" t="str">
        <f t="shared" si="30"/>
        <v/>
      </c>
      <c r="BM34" s="266" t="str">
        <f t="shared" si="31"/>
        <v/>
      </c>
      <c r="BN34" s="263"/>
      <c r="BO34" s="266" t="str">
        <f t="shared" si="32"/>
        <v/>
      </c>
      <c r="BP34" s="264"/>
      <c r="BQ34" s="264"/>
    </row>
    <row r="35" spans="1:69" s="52" customFormat="1" ht="16.05" customHeight="1">
      <c r="A35" s="237"/>
      <c r="B35" s="237"/>
      <c r="C35" s="254" t="str">
        <f>IF(B35="","",IFERROR(VLOOKUP(物料汇总表!B35,参考表!A:B,2,FALSE),IFERROR(INDEX('[1]Part Name Dictionary'!$C$1:$C$5000,MATCH(B35,'[1]Part Name Dictionary'!$B$1:$B$5000,0)),IFERROR(VLOOKUP(B35,参考表!N:O,2,FALSE),""))))</f>
        <v/>
      </c>
      <c r="D35" s="254" t="str">
        <f t="shared" si="15"/>
        <v/>
      </c>
      <c r="E35" s="237"/>
      <c r="F35" s="235" t="str">
        <f>IF(B35="","",IFERROR(INDEX('[1]Part Name Dictionary'!$V$1:$V$5000,MATCH(B35,'[1]Part Name Dictionary'!$B$1:$B$5000,0)),""))</f>
        <v/>
      </c>
      <c r="G35" s="246"/>
      <c r="H35" s="247"/>
      <c r="I35" s="250" t="str">
        <f t="shared" si="16"/>
        <v/>
      </c>
      <c r="J35" s="251" t="str">
        <f t="shared" si="17"/>
        <v/>
      </c>
      <c r="K35" s="327"/>
      <c r="L35" s="327"/>
      <c r="M35" s="327"/>
      <c r="N35" s="327"/>
      <c r="O35" s="249"/>
      <c r="P35" s="328"/>
      <c r="Q35" s="329"/>
      <c r="R35" s="329"/>
      <c r="S35" s="329"/>
      <c r="T35" s="330"/>
      <c r="U35" s="331" t="str">
        <f>IF(H35="TE-F",IFERROR(VLOOKUP(物料汇总表!B35,参考表!A:D,3,FALSE),""),IF(H35="HP61",IFERROR(VLOOKUP(B35,参考表!T:V,3,FALSE),""),IF(OR(H35="RF1",H35="RF2"),IFERROR(VLOOKUP(B35,参考表!N:Q,4,FALSE),IFERROR(VLOOKUP(B35,发运层物料名称参考表!D:E,3,FALSE),"")),IFERROR(VLOOKUP(B35,发运层物料名称参考表!D:H,2,FALSE),IFERROR(VLOOKUP(B35,参考表!N:Q,4,FALSE),"")))))</f>
        <v/>
      </c>
      <c r="V35" s="331" t="s">
        <v>88</v>
      </c>
      <c r="W35" s="324" t="str">
        <f>IF(H35="TE-F",IFERROR(VLOOKUP(物料汇总表!B35,参考表!A:D,4,FALSE),""),IF(H35="HP61",IFERROR(VLOOKUP(B35,参考表!T:V,2,FALSE),""),IF(OR(H35="RF1",H35="RF2"),IFERROR(VLOOKUP(B35,参考表!N:Q,3,FALSE),IFERROR(VLOOKUP(B35,发运层物料名称参考表!D:G,4,FALSE),"")),IFERROR(VLOOKUP(B35,发运层物料名称参考表!D:H,4,FALSE),IFERROR(VLOOKUP(B35,参考表!N:Q,3,FALSE),"")))))</f>
        <v/>
      </c>
      <c r="X35" s="325"/>
      <c r="Y35" s="326"/>
      <c r="Z35" s="292"/>
      <c r="AA35" s="331" t="str">
        <f t="shared" si="18"/>
        <v/>
      </c>
      <c r="AB35" s="340" t="s">
        <v>98</v>
      </c>
      <c r="AD35" s="44" t="str">
        <f t="shared" si="1"/>
        <v/>
      </c>
      <c r="AE35" s="56"/>
      <c r="AF35" s="49"/>
      <c r="AG35" s="72" t="str">
        <f t="shared" si="2"/>
        <v/>
      </c>
      <c r="AH35" s="73" t="str">
        <f t="shared" si="3"/>
        <v/>
      </c>
      <c r="AI35" s="73" t="str">
        <f t="shared" si="4"/>
        <v/>
      </c>
      <c r="AJ35" s="73" t="str">
        <f t="shared" si="5"/>
        <v/>
      </c>
      <c r="AK35" s="73"/>
      <c r="AL35" s="73" t="str">
        <f t="shared" si="6"/>
        <v/>
      </c>
      <c r="AM35" s="73" t="str">
        <f t="shared" si="7"/>
        <v/>
      </c>
      <c r="AN35" s="74"/>
      <c r="AO35" s="47" t="str">
        <f t="shared" si="8"/>
        <v/>
      </c>
      <c r="AP35" s="73" t="str">
        <f t="shared" si="19"/>
        <v/>
      </c>
      <c r="AQ35" s="47" t="str">
        <f t="shared" si="9"/>
        <v/>
      </c>
      <c r="AR35" s="73" t="str">
        <f t="shared" si="20"/>
        <v/>
      </c>
      <c r="AS35" s="85"/>
      <c r="AT35" s="73" t="str">
        <f t="shared" si="21"/>
        <v/>
      </c>
      <c r="AU35" s="51" t="str">
        <f t="shared" si="10"/>
        <v/>
      </c>
      <c r="AV35" s="73" t="str">
        <f t="shared" si="22"/>
        <v/>
      </c>
      <c r="AW35" s="47" t="str">
        <f t="shared" si="11"/>
        <v/>
      </c>
      <c r="AX35" s="49"/>
      <c r="AY35" s="49"/>
      <c r="AZ35" s="267" t="str">
        <f t="shared" si="23"/>
        <v/>
      </c>
      <c r="BA35" s="267" t="str">
        <f t="shared" si="24"/>
        <v/>
      </c>
      <c r="BB35" s="93" t="str">
        <f t="shared" si="25"/>
        <v/>
      </c>
      <c r="BC35" s="94" t="str">
        <f t="shared" si="26"/>
        <v/>
      </c>
      <c r="BD35" s="95"/>
      <c r="BE35" s="96" t="str">
        <f t="shared" si="27"/>
        <v/>
      </c>
      <c r="BF35" s="94" t="str">
        <f t="shared" si="28"/>
        <v/>
      </c>
      <c r="BG35" s="97"/>
      <c r="BH35" s="97"/>
      <c r="BI35" s="98"/>
      <c r="BJ35" s="97"/>
      <c r="BK35" s="97" t="str">
        <f t="shared" si="29"/>
        <v/>
      </c>
      <c r="BL35" s="97" t="str">
        <f t="shared" si="30"/>
        <v/>
      </c>
      <c r="BM35" s="266" t="str">
        <f t="shared" si="31"/>
        <v/>
      </c>
      <c r="BN35" s="263"/>
      <c r="BO35" s="266" t="str">
        <f t="shared" si="32"/>
        <v/>
      </c>
      <c r="BP35" s="264"/>
      <c r="BQ35" s="264"/>
    </row>
    <row r="36" spans="1:69" s="52" customFormat="1" ht="16.05" customHeight="1">
      <c r="A36" s="237"/>
      <c r="B36" s="237"/>
      <c r="C36" s="254" t="str">
        <f>IF(B36="","",IFERROR(VLOOKUP(物料汇总表!B36,参考表!A:B,2,FALSE),IFERROR(INDEX('[1]Part Name Dictionary'!$C$1:$C$5000,MATCH(B36,'[1]Part Name Dictionary'!$B$1:$B$5000,0)),IFERROR(VLOOKUP(B36,参考表!N:O,2,FALSE),""))))</f>
        <v/>
      </c>
      <c r="D36" s="254" t="str">
        <f t="shared" si="15"/>
        <v/>
      </c>
      <c r="E36" s="237"/>
      <c r="F36" s="235" t="str">
        <f>IF(B36="","",IFERROR(INDEX('[1]Part Name Dictionary'!$V$1:$V$5000,MATCH(B36,'[1]Part Name Dictionary'!$B$1:$B$5000,0)),""))</f>
        <v/>
      </c>
      <c r="G36" s="246"/>
      <c r="H36" s="247"/>
      <c r="I36" s="250" t="str">
        <f t="shared" si="16"/>
        <v/>
      </c>
      <c r="J36" s="251" t="str">
        <f t="shared" si="17"/>
        <v/>
      </c>
      <c r="K36" s="327"/>
      <c r="L36" s="327"/>
      <c r="M36" s="327"/>
      <c r="N36" s="327"/>
      <c r="O36" s="249"/>
      <c r="P36" s="328"/>
      <c r="Q36" s="329"/>
      <c r="R36" s="329"/>
      <c r="S36" s="329"/>
      <c r="T36" s="330"/>
      <c r="U36" s="331" t="str">
        <f>IF(H36="TE-F",IFERROR(VLOOKUP(物料汇总表!B36,参考表!A:D,3,FALSE),""),IF(H36="HP61",IFERROR(VLOOKUP(B36,参考表!T:V,3,FALSE),""),IF(OR(H36="RF1",H36="RF2"),IFERROR(VLOOKUP(B36,参考表!N:Q,4,FALSE),IFERROR(VLOOKUP(B36,发运层物料名称参考表!D:E,3,FALSE),"")),IFERROR(VLOOKUP(B36,发运层物料名称参考表!D:H,2,FALSE),IFERROR(VLOOKUP(B36,参考表!N:Q,4,FALSE),"")))))</f>
        <v/>
      </c>
      <c r="V36" s="331" t="s">
        <v>88</v>
      </c>
      <c r="W36" s="324" t="str">
        <f>IF(H36="TE-F",IFERROR(VLOOKUP(物料汇总表!B36,参考表!A:D,4,FALSE),""),IF(H36="HP61",IFERROR(VLOOKUP(B36,参考表!T:V,2,FALSE),""),IF(OR(H36="RF1",H36="RF2"),IFERROR(VLOOKUP(B36,参考表!N:Q,3,FALSE),IFERROR(VLOOKUP(B36,发运层物料名称参考表!D:G,4,FALSE),"")),IFERROR(VLOOKUP(B36,发运层物料名称参考表!D:H,4,FALSE),IFERROR(VLOOKUP(B36,参考表!N:Q,3,FALSE),"")))))</f>
        <v/>
      </c>
      <c r="X36" s="325"/>
      <c r="Y36" s="326"/>
      <c r="Z36" s="292"/>
      <c r="AA36" s="331" t="str">
        <f t="shared" si="18"/>
        <v/>
      </c>
      <c r="AB36" s="340" t="s">
        <v>98</v>
      </c>
      <c r="AD36" s="44" t="str">
        <f t="shared" si="1"/>
        <v/>
      </c>
      <c r="AE36" s="56"/>
      <c r="AF36" s="49"/>
      <c r="AG36" s="72" t="str">
        <f t="shared" si="2"/>
        <v/>
      </c>
      <c r="AH36" s="73" t="str">
        <f t="shared" si="3"/>
        <v/>
      </c>
      <c r="AI36" s="73" t="str">
        <f t="shared" si="4"/>
        <v/>
      </c>
      <c r="AJ36" s="73" t="str">
        <f t="shared" si="5"/>
        <v/>
      </c>
      <c r="AK36" s="73"/>
      <c r="AL36" s="73" t="str">
        <f t="shared" si="6"/>
        <v/>
      </c>
      <c r="AM36" s="73" t="str">
        <f t="shared" si="7"/>
        <v/>
      </c>
      <c r="AN36" s="74"/>
      <c r="AO36" s="47" t="str">
        <f t="shared" si="8"/>
        <v/>
      </c>
      <c r="AP36" s="73" t="str">
        <f t="shared" si="19"/>
        <v/>
      </c>
      <c r="AQ36" s="47" t="str">
        <f t="shared" si="9"/>
        <v/>
      </c>
      <c r="AR36" s="73" t="str">
        <f t="shared" si="20"/>
        <v/>
      </c>
      <c r="AS36" s="85"/>
      <c r="AT36" s="73" t="str">
        <f t="shared" si="21"/>
        <v/>
      </c>
      <c r="AU36" s="51" t="str">
        <f t="shared" si="10"/>
        <v/>
      </c>
      <c r="AV36" s="73" t="str">
        <f t="shared" si="22"/>
        <v/>
      </c>
      <c r="AW36" s="47" t="str">
        <f t="shared" si="11"/>
        <v/>
      </c>
      <c r="AX36" s="49"/>
      <c r="AY36" s="49"/>
      <c r="AZ36" s="267" t="str">
        <f t="shared" si="23"/>
        <v/>
      </c>
      <c r="BA36" s="267" t="str">
        <f t="shared" si="24"/>
        <v/>
      </c>
      <c r="BB36" s="93" t="str">
        <f t="shared" si="25"/>
        <v/>
      </c>
      <c r="BC36" s="94" t="str">
        <f t="shared" si="26"/>
        <v/>
      </c>
      <c r="BD36" s="95"/>
      <c r="BE36" s="96" t="str">
        <f t="shared" si="27"/>
        <v/>
      </c>
      <c r="BF36" s="94" t="str">
        <f t="shared" si="28"/>
        <v/>
      </c>
      <c r="BG36" s="97"/>
      <c r="BH36" s="97"/>
      <c r="BI36" s="98"/>
      <c r="BJ36" s="97"/>
      <c r="BK36" s="97" t="str">
        <f t="shared" si="29"/>
        <v/>
      </c>
      <c r="BL36" s="97" t="str">
        <f t="shared" si="30"/>
        <v/>
      </c>
      <c r="BM36" s="266" t="str">
        <f t="shared" si="31"/>
        <v/>
      </c>
      <c r="BN36" s="263"/>
      <c r="BO36" s="266" t="str">
        <f t="shared" si="32"/>
        <v/>
      </c>
      <c r="BP36" s="264"/>
      <c r="BQ36" s="264"/>
    </row>
    <row r="37" spans="1:69" s="52" customFormat="1" ht="16.05" customHeight="1">
      <c r="A37" s="237"/>
      <c r="B37" s="237"/>
      <c r="C37" s="254" t="str">
        <f>IF(B37="","",IFERROR(VLOOKUP(物料汇总表!B37,参考表!A:B,2,FALSE),IFERROR(INDEX('[1]Part Name Dictionary'!$C$1:$C$5000,MATCH(B37,'[1]Part Name Dictionary'!$B$1:$B$5000,0)),IFERROR(VLOOKUP(B37,参考表!N:O,2,FALSE),""))))</f>
        <v/>
      </c>
      <c r="D37" s="254" t="str">
        <f t="shared" si="15"/>
        <v/>
      </c>
      <c r="E37" s="237"/>
      <c r="F37" s="235" t="str">
        <f>IF(B37="","",IFERROR(INDEX('[1]Part Name Dictionary'!$V$1:$V$5000,MATCH(B37,'[1]Part Name Dictionary'!$B$1:$B$5000,0)),""))</f>
        <v/>
      </c>
      <c r="G37" s="246"/>
      <c r="H37" s="247"/>
      <c r="I37" s="250" t="str">
        <f t="shared" si="16"/>
        <v/>
      </c>
      <c r="J37" s="251" t="str">
        <f t="shared" si="17"/>
        <v/>
      </c>
      <c r="K37" s="327"/>
      <c r="L37" s="327"/>
      <c r="M37" s="327"/>
      <c r="N37" s="327"/>
      <c r="O37" s="249"/>
      <c r="P37" s="328"/>
      <c r="Q37" s="329"/>
      <c r="R37" s="329"/>
      <c r="S37" s="329"/>
      <c r="T37" s="330"/>
      <c r="U37" s="331" t="str">
        <f>IF(H37="TE-F",IFERROR(VLOOKUP(物料汇总表!B37,参考表!A:D,3,FALSE),""),IF(H37="HP61",IFERROR(VLOOKUP(B37,参考表!T:V,3,FALSE),""),IF(OR(H37="RF1",H37="RF2"),IFERROR(VLOOKUP(B37,参考表!N:Q,4,FALSE),IFERROR(VLOOKUP(B37,发运层物料名称参考表!D:E,3,FALSE),"")),IFERROR(VLOOKUP(B37,发运层物料名称参考表!D:H,2,FALSE),IFERROR(VLOOKUP(B37,参考表!N:Q,4,FALSE),"")))))</f>
        <v/>
      </c>
      <c r="V37" s="331" t="s">
        <v>88</v>
      </c>
      <c r="W37" s="324" t="str">
        <f>IF(H37="TE-F",IFERROR(VLOOKUP(物料汇总表!B37,参考表!A:D,4,FALSE),""),IF(H37="HP61",IFERROR(VLOOKUP(B37,参考表!T:V,2,FALSE),""),IF(OR(H37="RF1",H37="RF2"),IFERROR(VLOOKUP(B37,参考表!N:Q,3,FALSE),IFERROR(VLOOKUP(B37,发运层物料名称参考表!D:G,4,FALSE),"")),IFERROR(VLOOKUP(B37,发运层物料名称参考表!D:H,4,FALSE),IFERROR(VLOOKUP(B37,参考表!N:Q,3,FALSE),"")))))</f>
        <v/>
      </c>
      <c r="X37" s="325"/>
      <c r="Y37" s="326"/>
      <c r="Z37" s="292"/>
      <c r="AA37" s="331" t="str">
        <f t="shared" si="18"/>
        <v/>
      </c>
      <c r="AB37" s="340" t="s">
        <v>98</v>
      </c>
      <c r="AD37" s="44" t="str">
        <f t="shared" si="1"/>
        <v/>
      </c>
      <c r="AE37" s="56"/>
      <c r="AF37" s="49"/>
      <c r="AG37" s="72" t="str">
        <f t="shared" si="2"/>
        <v/>
      </c>
      <c r="AH37" s="73" t="str">
        <f t="shared" si="3"/>
        <v/>
      </c>
      <c r="AI37" s="73" t="str">
        <f t="shared" si="4"/>
        <v/>
      </c>
      <c r="AJ37" s="73" t="str">
        <f t="shared" si="5"/>
        <v/>
      </c>
      <c r="AK37" s="73"/>
      <c r="AL37" s="73" t="str">
        <f t="shared" si="6"/>
        <v/>
      </c>
      <c r="AM37" s="73" t="str">
        <f t="shared" si="7"/>
        <v/>
      </c>
      <c r="AN37" s="74"/>
      <c r="AO37" s="47" t="str">
        <f t="shared" si="8"/>
        <v/>
      </c>
      <c r="AP37" s="73" t="str">
        <f t="shared" si="19"/>
        <v/>
      </c>
      <c r="AQ37" s="47" t="str">
        <f t="shared" si="9"/>
        <v/>
      </c>
      <c r="AR37" s="73" t="str">
        <f t="shared" si="20"/>
        <v/>
      </c>
      <c r="AS37" s="85"/>
      <c r="AT37" s="73" t="str">
        <f t="shared" si="21"/>
        <v/>
      </c>
      <c r="AU37" s="51" t="str">
        <f t="shared" si="10"/>
        <v/>
      </c>
      <c r="AV37" s="73" t="str">
        <f t="shared" si="22"/>
        <v/>
      </c>
      <c r="AW37" s="47" t="str">
        <f t="shared" si="11"/>
        <v/>
      </c>
      <c r="AX37" s="49"/>
      <c r="AY37" s="49"/>
      <c r="AZ37" s="267" t="str">
        <f t="shared" si="23"/>
        <v/>
      </c>
      <c r="BA37" s="267" t="str">
        <f t="shared" si="24"/>
        <v/>
      </c>
      <c r="BB37" s="93" t="str">
        <f t="shared" si="25"/>
        <v/>
      </c>
      <c r="BC37" s="94" t="str">
        <f t="shared" si="26"/>
        <v/>
      </c>
      <c r="BD37" s="95"/>
      <c r="BE37" s="96" t="str">
        <f t="shared" si="27"/>
        <v/>
      </c>
      <c r="BF37" s="94" t="str">
        <f t="shared" si="28"/>
        <v/>
      </c>
      <c r="BG37" s="97"/>
      <c r="BH37" s="97"/>
      <c r="BI37" s="98"/>
      <c r="BJ37" s="97"/>
      <c r="BK37" s="97" t="str">
        <f t="shared" si="29"/>
        <v/>
      </c>
      <c r="BL37" s="97" t="str">
        <f t="shared" si="30"/>
        <v/>
      </c>
      <c r="BM37" s="266" t="str">
        <f t="shared" si="31"/>
        <v/>
      </c>
      <c r="BN37" s="263"/>
      <c r="BO37" s="266" t="str">
        <f t="shared" si="32"/>
        <v/>
      </c>
      <c r="BP37" s="264"/>
      <c r="BQ37" s="264"/>
    </row>
    <row r="38" spans="1:69" s="52" customFormat="1" ht="16.05" customHeight="1">
      <c r="A38" s="237"/>
      <c r="B38" s="237"/>
      <c r="C38" s="254" t="str">
        <f>IF(B38="","",IFERROR(VLOOKUP(物料汇总表!B38,参考表!A:B,2,FALSE),IFERROR(INDEX('[1]Part Name Dictionary'!$C$1:$C$5000,MATCH(B38,'[1]Part Name Dictionary'!$B$1:$B$5000,0)),IFERROR(VLOOKUP(B38,参考表!N:O,2,FALSE),""))))</f>
        <v/>
      </c>
      <c r="D38" s="254" t="str">
        <f t="shared" si="15"/>
        <v/>
      </c>
      <c r="E38" s="237"/>
      <c r="F38" s="235" t="str">
        <f>IF(B38="","",IFERROR(INDEX('[1]Part Name Dictionary'!$V$1:$V$5000,MATCH(B38,'[1]Part Name Dictionary'!$B$1:$B$5000,0)),""))</f>
        <v/>
      </c>
      <c r="G38" s="246"/>
      <c r="H38" s="247"/>
      <c r="I38" s="250" t="str">
        <f t="shared" si="16"/>
        <v/>
      </c>
      <c r="J38" s="251" t="str">
        <f t="shared" si="17"/>
        <v/>
      </c>
      <c r="K38" s="327"/>
      <c r="L38" s="327"/>
      <c r="M38" s="327"/>
      <c r="N38" s="327"/>
      <c r="O38" s="249"/>
      <c r="P38" s="328"/>
      <c r="Q38" s="329"/>
      <c r="R38" s="329"/>
      <c r="S38" s="329"/>
      <c r="T38" s="330"/>
      <c r="U38" s="331" t="str">
        <f>IF(H38="TE-F",IFERROR(VLOOKUP(物料汇总表!B38,参考表!A:D,3,FALSE),""),IF(H38="HP61",IFERROR(VLOOKUP(B38,参考表!T:V,3,FALSE),""),IF(OR(H38="RF1",H38="RF2"),IFERROR(VLOOKUP(B38,参考表!N:Q,4,FALSE),IFERROR(VLOOKUP(B38,发运层物料名称参考表!D:E,3,FALSE),"")),IFERROR(VLOOKUP(B38,发运层物料名称参考表!D:H,2,FALSE),IFERROR(VLOOKUP(B38,参考表!N:Q,4,FALSE),"")))))</f>
        <v/>
      </c>
      <c r="V38" s="331" t="s">
        <v>88</v>
      </c>
      <c r="W38" s="324" t="str">
        <f>IF(H38="TE-F",IFERROR(VLOOKUP(物料汇总表!B38,参考表!A:D,4,FALSE),""),IF(H38="HP61",IFERROR(VLOOKUP(B38,参考表!T:V,2,FALSE),""),IF(OR(H38="RF1",H38="RF2"),IFERROR(VLOOKUP(B38,参考表!N:Q,3,FALSE),IFERROR(VLOOKUP(B38,发运层物料名称参考表!D:G,4,FALSE),"")),IFERROR(VLOOKUP(B38,发运层物料名称参考表!D:H,4,FALSE),IFERROR(VLOOKUP(B38,参考表!N:Q,3,FALSE),"")))))</f>
        <v/>
      </c>
      <c r="X38" s="325"/>
      <c r="Y38" s="326"/>
      <c r="Z38" s="292"/>
      <c r="AA38" s="331" t="str">
        <f t="shared" si="18"/>
        <v/>
      </c>
      <c r="AB38" s="340" t="s">
        <v>98</v>
      </c>
      <c r="AD38" s="44" t="str">
        <f t="shared" si="1"/>
        <v/>
      </c>
      <c r="AE38" s="56"/>
      <c r="AF38" s="49"/>
      <c r="AG38" s="72" t="str">
        <f t="shared" si="2"/>
        <v/>
      </c>
      <c r="AH38" s="73" t="str">
        <f t="shared" si="3"/>
        <v/>
      </c>
      <c r="AI38" s="73" t="str">
        <f t="shared" si="4"/>
        <v/>
      </c>
      <c r="AJ38" s="73" t="str">
        <f t="shared" si="5"/>
        <v/>
      </c>
      <c r="AK38" s="73"/>
      <c r="AL38" s="73" t="str">
        <f t="shared" si="6"/>
        <v/>
      </c>
      <c r="AM38" s="73" t="str">
        <f t="shared" si="7"/>
        <v/>
      </c>
      <c r="AN38" s="74"/>
      <c r="AO38" s="47" t="str">
        <f t="shared" si="8"/>
        <v/>
      </c>
      <c r="AP38" s="73" t="str">
        <f t="shared" si="19"/>
        <v/>
      </c>
      <c r="AQ38" s="47" t="str">
        <f t="shared" si="9"/>
        <v/>
      </c>
      <c r="AR38" s="73" t="str">
        <f t="shared" si="20"/>
        <v/>
      </c>
      <c r="AS38" s="85"/>
      <c r="AT38" s="73" t="str">
        <f t="shared" si="21"/>
        <v/>
      </c>
      <c r="AU38" s="51" t="str">
        <f t="shared" si="10"/>
        <v/>
      </c>
      <c r="AV38" s="73" t="str">
        <f t="shared" si="22"/>
        <v/>
      </c>
      <c r="AW38" s="47" t="str">
        <f t="shared" si="11"/>
        <v/>
      </c>
      <c r="AX38" s="49"/>
      <c r="AY38" s="49"/>
      <c r="AZ38" s="267" t="str">
        <f t="shared" si="23"/>
        <v/>
      </c>
      <c r="BA38" s="267" t="str">
        <f t="shared" si="24"/>
        <v/>
      </c>
      <c r="BB38" s="93" t="str">
        <f t="shared" si="25"/>
        <v/>
      </c>
      <c r="BC38" s="94" t="str">
        <f t="shared" si="26"/>
        <v/>
      </c>
      <c r="BD38" s="95"/>
      <c r="BE38" s="96" t="str">
        <f t="shared" si="27"/>
        <v/>
      </c>
      <c r="BF38" s="94" t="str">
        <f t="shared" si="28"/>
        <v/>
      </c>
      <c r="BG38" s="97"/>
      <c r="BH38" s="97"/>
      <c r="BI38" s="98"/>
      <c r="BJ38" s="97"/>
      <c r="BK38" s="97" t="str">
        <f t="shared" si="29"/>
        <v/>
      </c>
      <c r="BL38" s="97" t="str">
        <f t="shared" si="30"/>
        <v/>
      </c>
      <c r="BM38" s="266" t="str">
        <f t="shared" si="31"/>
        <v/>
      </c>
      <c r="BN38" s="263"/>
      <c r="BO38" s="266" t="str">
        <f t="shared" si="32"/>
        <v/>
      </c>
      <c r="BP38" s="264"/>
      <c r="BQ38" s="264"/>
    </row>
    <row r="39" spans="1:69" s="2" customFormat="1" ht="18" customHeight="1">
      <c r="A39" s="223"/>
      <c r="B39" s="223"/>
      <c r="C39" s="223"/>
      <c r="D39" s="223"/>
      <c r="E39" s="223"/>
      <c r="F39" s="223"/>
      <c r="G39" s="362" t="s">
        <v>9</v>
      </c>
      <c r="H39" s="363"/>
      <c r="I39" s="252" t="s">
        <v>2643</v>
      </c>
      <c r="J39" s="53" t="s">
        <v>69</v>
      </c>
      <c r="K39" s="363"/>
      <c r="L39" s="363"/>
      <c r="M39" s="363"/>
      <c r="N39" s="363"/>
      <c r="O39" s="366" t="s">
        <v>71</v>
      </c>
      <c r="P39" s="367"/>
      <c r="Q39" s="374"/>
      <c r="R39" s="375"/>
      <c r="S39" s="376"/>
      <c r="T39" s="366" t="s">
        <v>72</v>
      </c>
      <c r="U39" s="367"/>
      <c r="V39" s="370"/>
      <c r="W39" s="370"/>
      <c r="X39" s="370"/>
      <c r="Y39" s="363" t="s">
        <v>73</v>
      </c>
      <c r="Z39" s="363"/>
      <c r="AA39" s="370"/>
      <c r="AB39" s="371"/>
      <c r="AD39" s="44">
        <f t="shared" ref="AD39" ca="1" si="33">IF($G39="","",IF($Z$5="","",$Z$5))</f>
        <v>42457</v>
      </c>
      <c r="AE39" s="47"/>
      <c r="AF39" s="49"/>
      <c r="AG39" s="72" t="str">
        <f t="shared" ref="AG39" si="34">IF($G39="","",IF($R$7="","",$R$7))</f>
        <v/>
      </c>
      <c r="AH39" s="73" t="str">
        <f t="shared" ref="AH39" si="35">IF($G39="","",IF($J$7="","",$J$7))</f>
        <v>私宅电梯</v>
      </c>
      <c r="AI39" s="73" t="str">
        <f t="shared" ref="AI39" si="36">IF($G39="","",IF($H39="","",$H39))</f>
        <v/>
      </c>
      <c r="AJ39" s="73" t="str">
        <f t="shared" ref="AJ39" si="37">IF($G39="","",IF($K39="","",$K39))</f>
        <v/>
      </c>
      <c r="AK39" s="73"/>
      <c r="AL39" s="73" t="str">
        <f t="shared" ref="AL39" si="38">IF($G39="","",IF($I$39="","",$I$39))</f>
        <v>胡晓明</v>
      </c>
      <c r="AM39" s="73" t="str">
        <f t="shared" ref="AM39" si="39">IF($G39="","",IF($I39="","",$I39))</f>
        <v>胡晓明</v>
      </c>
      <c r="AN39" s="74"/>
      <c r="AO39" s="47" t="str">
        <f t="shared" ref="AO39" si="40">IF($G39="","",IF($P39="","",$P39))</f>
        <v/>
      </c>
      <c r="AP39" s="73" t="str">
        <f t="shared" ref="AP39" si="41">IF($G39="","",IF($AA39="","",$AA39))</f>
        <v/>
      </c>
      <c r="AQ39" s="47" t="str">
        <f t="shared" ref="AQ39" si="42">IF($G39="","",IF($M39="","",$M39))</f>
        <v/>
      </c>
      <c r="AR39" s="73" t="str">
        <f t="shared" ref="AR39" si="43">IF($G39="","",IF($U39="","",$U39))</f>
        <v/>
      </c>
      <c r="AS39" s="47"/>
      <c r="AT39" s="73" t="str">
        <f t="shared" ref="AT39" si="44">IF($G39="","",IF($W39="","",$W39))</f>
        <v/>
      </c>
      <c r="AU39" s="47" t="str">
        <f t="shared" ref="AU39" si="45">IF($G39="","",IF($J39="","",$J39))</f>
        <v>审核(Checked)：</v>
      </c>
      <c r="AV39" s="73" t="str">
        <f t="shared" ref="AV39" si="46">IF($G39="","",IF($Z39="","",$Z39))</f>
        <v/>
      </c>
      <c r="AW39" s="47" t="str">
        <f t="shared" si="11"/>
        <v/>
      </c>
      <c r="AX39" s="49"/>
      <c r="AY39" s="49"/>
      <c r="AZ39" s="267" t="str">
        <f t="shared" ref="AZ39" si="47">IF(K39="","",H$6)</f>
        <v/>
      </c>
      <c r="BA39" s="267" t="str">
        <f t="shared" si="12"/>
        <v/>
      </c>
      <c r="BB39" s="93" t="str">
        <f t="shared" ref="BB39" si="48">IF(K39="","",K39)</f>
        <v/>
      </c>
      <c r="BC39" s="94" t="str">
        <f t="shared" ref="BC39" si="49">IF(M39="","",M39)</f>
        <v/>
      </c>
      <c r="BD39" s="95"/>
      <c r="BE39" s="96" t="str">
        <f t="shared" ref="BE39" si="50">IF(I39="","",I39)</f>
        <v>胡晓明</v>
      </c>
      <c r="BF39" s="94" t="str">
        <f t="shared" si="13"/>
        <v>审核(Checked)：</v>
      </c>
      <c r="BG39" s="97"/>
      <c r="BH39" s="97"/>
      <c r="BI39" s="98"/>
      <c r="BJ39" s="97"/>
      <c r="BK39" s="97" t="str">
        <f t="shared" ref="BK39" si="51">IF(Z39="","",Z39)</f>
        <v/>
      </c>
      <c r="BL39" s="97" t="str">
        <f t="shared" si="14"/>
        <v/>
      </c>
      <c r="BM39" s="266" t="str">
        <f t="shared" ref="BM39" si="52">IF(W39="","",W39)</f>
        <v/>
      </c>
      <c r="BN39" s="266"/>
      <c r="BO39" s="266" t="str">
        <f t="shared" ref="BO39" si="53">IF(U39="","",U39)</f>
        <v/>
      </c>
      <c r="BP39" s="264"/>
      <c r="BQ39" s="264"/>
    </row>
    <row r="40" spans="1:69" s="2" customFormat="1" ht="18" customHeight="1">
      <c r="A40" s="223"/>
      <c r="B40" s="223"/>
      <c r="C40" s="223"/>
      <c r="D40" s="223"/>
      <c r="E40" s="223"/>
      <c r="F40" s="223"/>
      <c r="G40" s="364" t="s">
        <v>8</v>
      </c>
      <c r="H40" s="365"/>
      <c r="I40" s="253">
        <v>42457</v>
      </c>
      <c r="J40" s="54" t="s">
        <v>70</v>
      </c>
      <c r="K40" s="365"/>
      <c r="L40" s="365"/>
      <c r="M40" s="365"/>
      <c r="N40" s="365"/>
      <c r="O40" s="368" t="s">
        <v>70</v>
      </c>
      <c r="P40" s="369"/>
      <c r="Q40" s="377"/>
      <c r="R40" s="378"/>
      <c r="S40" s="379"/>
      <c r="T40" s="368" t="s">
        <v>70</v>
      </c>
      <c r="U40" s="369"/>
      <c r="V40" s="372"/>
      <c r="W40" s="372"/>
      <c r="X40" s="372"/>
      <c r="Y40" s="365" t="s">
        <v>70</v>
      </c>
      <c r="Z40" s="365"/>
      <c r="AA40" s="372"/>
      <c r="AB40" s="373"/>
      <c r="AE40" s="14"/>
      <c r="AF40" s="50"/>
      <c r="AG40" s="72"/>
      <c r="AH40" s="73"/>
      <c r="AI40" s="73"/>
      <c r="AJ40" s="73"/>
      <c r="AK40" s="73"/>
      <c r="AL40" s="73"/>
      <c r="AM40" s="73"/>
      <c r="AN40" s="74"/>
      <c r="AO40" s="14"/>
      <c r="AP40" s="14"/>
      <c r="AQ40" s="14"/>
      <c r="AR40" s="14"/>
      <c r="AS40" s="14"/>
      <c r="AT40" s="14"/>
      <c r="AU40" s="14"/>
      <c r="AV40" s="14"/>
      <c r="AW40" s="14"/>
      <c r="AX40" s="49"/>
      <c r="AY40" s="49"/>
      <c r="BM40" s="259"/>
      <c r="BN40" s="259"/>
      <c r="BO40" s="259"/>
      <c r="BP40" s="259"/>
      <c r="BQ40" s="259"/>
    </row>
    <row r="41" spans="1:69">
      <c r="A41" s="224"/>
      <c r="B41" s="224"/>
      <c r="C41" s="224"/>
      <c r="D41" s="224"/>
      <c r="E41" s="224"/>
      <c r="F41" s="224"/>
    </row>
    <row r="42" spans="1:69">
      <c r="A42" s="224"/>
      <c r="B42" s="224"/>
      <c r="C42" s="224"/>
      <c r="D42" s="224"/>
      <c r="E42" s="224"/>
      <c r="F42" s="224"/>
    </row>
    <row r="43" spans="1:69">
      <c r="A43" s="224"/>
      <c r="B43" s="224"/>
      <c r="C43" s="224"/>
      <c r="D43" s="224"/>
      <c r="E43" s="224"/>
      <c r="F43" s="224"/>
    </row>
    <row r="44" spans="1:69">
      <c r="A44" s="224"/>
      <c r="B44" s="224"/>
      <c r="C44" s="224"/>
      <c r="D44" s="224"/>
      <c r="E44" s="224"/>
      <c r="F44" s="224"/>
    </row>
    <row r="45" spans="1:69">
      <c r="A45" s="224"/>
      <c r="B45" s="224"/>
      <c r="C45" s="224"/>
      <c r="D45" s="224"/>
      <c r="E45" s="224"/>
      <c r="F45" s="224"/>
    </row>
    <row r="46" spans="1:69">
      <c r="A46" s="224"/>
      <c r="B46" s="224"/>
      <c r="C46" s="224"/>
      <c r="D46" s="224"/>
      <c r="E46" s="224"/>
      <c r="F46" s="224"/>
    </row>
    <row r="47" spans="1:69">
      <c r="A47" s="224"/>
      <c r="B47" s="224"/>
      <c r="C47" s="224"/>
      <c r="D47" s="224"/>
      <c r="E47" s="224"/>
      <c r="F47" s="224"/>
    </row>
    <row r="48" spans="1:69">
      <c r="A48" s="224"/>
      <c r="B48" s="224"/>
      <c r="C48" s="224"/>
      <c r="D48" s="224"/>
      <c r="E48" s="224"/>
      <c r="F48" s="224"/>
    </row>
    <row r="49" spans="1:6">
      <c r="A49" s="224"/>
      <c r="B49" s="224"/>
      <c r="C49" s="224"/>
      <c r="D49" s="224"/>
      <c r="E49" s="224"/>
      <c r="F49" s="224"/>
    </row>
    <row r="50" spans="1:6">
      <c r="A50" s="224"/>
      <c r="B50" s="224"/>
      <c r="C50" s="224"/>
      <c r="D50" s="224"/>
      <c r="E50" s="224"/>
      <c r="F50" s="224"/>
    </row>
    <row r="51" spans="1:6">
      <c r="A51" s="224"/>
      <c r="B51" s="224"/>
      <c r="C51" s="224"/>
      <c r="D51" s="224"/>
      <c r="E51" s="224"/>
      <c r="F51" s="224"/>
    </row>
    <row r="52" spans="1:6">
      <c r="A52" s="224"/>
      <c r="B52" s="224"/>
      <c r="C52" s="224"/>
      <c r="D52" s="224"/>
      <c r="E52" s="224"/>
      <c r="F52" s="224"/>
    </row>
    <row r="53" spans="1:6">
      <c r="A53" s="224"/>
      <c r="B53" s="224"/>
      <c r="C53" s="224"/>
      <c r="D53" s="224"/>
      <c r="E53" s="224"/>
      <c r="F53" s="224"/>
    </row>
    <row r="54" spans="1:6">
      <c r="A54" s="224"/>
      <c r="B54" s="224"/>
      <c r="C54" s="224"/>
      <c r="D54" s="224"/>
      <c r="E54" s="224"/>
      <c r="F54" s="224"/>
    </row>
    <row r="55" spans="1:6">
      <c r="A55" s="224"/>
      <c r="B55" s="224"/>
      <c r="C55" s="224"/>
      <c r="D55" s="224"/>
      <c r="E55" s="224"/>
      <c r="F55" s="224"/>
    </row>
    <row r="56" spans="1:6">
      <c r="A56" s="224"/>
      <c r="B56" s="224"/>
      <c r="C56" s="224"/>
      <c r="D56" s="224"/>
      <c r="E56" s="224"/>
      <c r="F56" s="224"/>
    </row>
    <row r="57" spans="1:6">
      <c r="A57" s="224"/>
      <c r="B57" s="224"/>
      <c r="C57" s="224"/>
      <c r="D57" s="224"/>
      <c r="E57" s="224"/>
      <c r="F57" s="224"/>
    </row>
    <row r="58" spans="1:6">
      <c r="A58" s="224"/>
      <c r="B58" s="224"/>
      <c r="C58" s="224"/>
      <c r="D58" s="224"/>
      <c r="E58" s="224"/>
      <c r="F58" s="224"/>
    </row>
    <row r="59" spans="1:6">
      <c r="A59" s="224"/>
      <c r="B59" s="224"/>
      <c r="C59" s="224"/>
      <c r="D59" s="224"/>
      <c r="E59" s="224"/>
      <c r="F59" s="224"/>
    </row>
    <row r="60" spans="1:6">
      <c r="A60" s="224"/>
      <c r="B60" s="224"/>
      <c r="C60" s="224"/>
      <c r="D60" s="224"/>
      <c r="E60" s="224"/>
      <c r="F60" s="224"/>
    </row>
    <row r="61" spans="1:6">
      <c r="A61" s="224"/>
      <c r="B61" s="224"/>
      <c r="C61" s="224"/>
      <c r="D61" s="224"/>
      <c r="E61" s="224"/>
      <c r="F61" s="224"/>
    </row>
    <row r="62" spans="1:6">
      <c r="A62" s="224"/>
      <c r="B62" s="224"/>
      <c r="C62" s="224"/>
      <c r="D62" s="224"/>
      <c r="E62" s="224"/>
      <c r="F62" s="224"/>
    </row>
    <row r="63" spans="1:6">
      <c r="A63" s="224"/>
      <c r="B63" s="224"/>
      <c r="C63" s="224"/>
      <c r="D63" s="224"/>
      <c r="E63" s="224"/>
      <c r="F63" s="224"/>
    </row>
    <row r="64" spans="1:6">
      <c r="A64" s="224"/>
      <c r="B64" s="224"/>
      <c r="C64" s="224"/>
      <c r="D64" s="224"/>
      <c r="E64" s="224"/>
      <c r="F64" s="224"/>
    </row>
    <row r="65" spans="1:6">
      <c r="A65" s="224"/>
      <c r="B65" s="224"/>
      <c r="C65" s="224"/>
      <c r="D65" s="224"/>
      <c r="E65" s="224"/>
      <c r="F65" s="224"/>
    </row>
    <row r="66" spans="1:6">
      <c r="A66" s="224"/>
      <c r="B66" s="224"/>
      <c r="C66" s="224"/>
      <c r="D66" s="224"/>
      <c r="E66" s="224"/>
      <c r="F66" s="224"/>
    </row>
    <row r="67" spans="1:6">
      <c r="A67" s="224"/>
      <c r="B67" s="224"/>
      <c r="C67" s="224"/>
      <c r="D67" s="224"/>
      <c r="E67" s="224"/>
      <c r="F67" s="224"/>
    </row>
    <row r="68" spans="1:6">
      <c r="A68" s="224"/>
      <c r="B68" s="224"/>
      <c r="C68" s="224"/>
      <c r="D68" s="224"/>
      <c r="E68" s="224"/>
      <c r="F68" s="224"/>
    </row>
    <row r="69" spans="1:6">
      <c r="A69" s="224"/>
      <c r="B69" s="224"/>
      <c r="C69" s="224"/>
      <c r="D69" s="224"/>
      <c r="E69" s="224"/>
      <c r="F69" s="224"/>
    </row>
    <row r="70" spans="1:6">
      <c r="A70" s="224"/>
      <c r="B70" s="224"/>
      <c r="C70" s="224"/>
      <c r="D70" s="224"/>
      <c r="E70" s="224"/>
      <c r="F70" s="224"/>
    </row>
    <row r="71" spans="1:6">
      <c r="A71" s="224"/>
      <c r="B71" s="224"/>
      <c r="C71" s="224"/>
      <c r="D71" s="224"/>
      <c r="E71" s="224"/>
      <c r="F71" s="224"/>
    </row>
    <row r="72" spans="1:6">
      <c r="A72" s="224"/>
      <c r="B72" s="224"/>
      <c r="C72" s="224"/>
      <c r="D72" s="224"/>
      <c r="E72" s="224"/>
      <c r="F72" s="224"/>
    </row>
    <row r="73" spans="1:6">
      <c r="A73" s="224"/>
      <c r="B73" s="224"/>
      <c r="C73" s="224"/>
      <c r="D73" s="224"/>
      <c r="E73" s="224"/>
      <c r="F73" s="224"/>
    </row>
    <row r="74" spans="1:6">
      <c r="A74" s="224"/>
      <c r="B74" s="224"/>
      <c r="C74" s="224"/>
      <c r="D74" s="224"/>
      <c r="E74" s="224"/>
      <c r="F74" s="224"/>
    </row>
    <row r="75" spans="1:6">
      <c r="A75" s="224"/>
      <c r="B75" s="224"/>
      <c r="C75" s="224"/>
      <c r="D75" s="224"/>
      <c r="E75" s="224"/>
      <c r="F75" s="224"/>
    </row>
    <row r="76" spans="1:6">
      <c r="A76" s="224"/>
      <c r="B76" s="224"/>
      <c r="C76" s="224"/>
      <c r="D76" s="224"/>
      <c r="E76" s="224"/>
      <c r="F76" s="224"/>
    </row>
    <row r="77" spans="1:6">
      <c r="A77" s="224"/>
      <c r="B77" s="224"/>
      <c r="C77" s="224"/>
      <c r="D77" s="224"/>
      <c r="E77" s="224"/>
      <c r="F77" s="224"/>
    </row>
    <row r="78" spans="1:6">
      <c r="A78" s="224"/>
      <c r="B78" s="224"/>
      <c r="C78" s="224"/>
      <c r="D78" s="224"/>
      <c r="E78" s="224"/>
      <c r="F78" s="224"/>
    </row>
    <row r="79" spans="1:6">
      <c r="A79" s="224"/>
      <c r="B79" s="224"/>
      <c r="C79" s="224"/>
      <c r="D79" s="224"/>
      <c r="E79" s="224"/>
      <c r="F79" s="224"/>
    </row>
    <row r="80" spans="1:6">
      <c r="A80" s="224"/>
      <c r="B80" s="224"/>
      <c r="C80" s="224"/>
      <c r="D80" s="224"/>
      <c r="E80" s="224"/>
      <c r="F80" s="224"/>
    </row>
    <row r="81" spans="1:6">
      <c r="A81" s="224"/>
      <c r="B81" s="224"/>
      <c r="C81" s="224"/>
      <c r="D81" s="224"/>
      <c r="E81" s="224"/>
      <c r="F81" s="224"/>
    </row>
    <row r="82" spans="1:6">
      <c r="A82" s="224"/>
      <c r="B82" s="224"/>
      <c r="C82" s="224"/>
      <c r="D82" s="224"/>
      <c r="E82" s="224"/>
      <c r="F82" s="224"/>
    </row>
    <row r="83" spans="1:6">
      <c r="A83" s="224"/>
      <c r="B83" s="224"/>
      <c r="C83" s="224"/>
      <c r="D83" s="224"/>
      <c r="E83" s="224"/>
      <c r="F83" s="224"/>
    </row>
    <row r="84" spans="1:6">
      <c r="A84" s="224"/>
      <c r="B84" s="224"/>
      <c r="C84" s="224"/>
      <c r="D84" s="224"/>
      <c r="E84" s="224"/>
      <c r="F84" s="224"/>
    </row>
    <row r="85" spans="1:6">
      <c r="A85" s="224"/>
      <c r="B85" s="224"/>
      <c r="C85" s="224"/>
      <c r="D85" s="224"/>
      <c r="E85" s="224"/>
      <c r="F85" s="224"/>
    </row>
    <row r="86" spans="1:6">
      <c r="A86" s="224"/>
      <c r="B86" s="224"/>
      <c r="C86" s="224"/>
      <c r="D86" s="224"/>
      <c r="E86" s="224"/>
      <c r="F86" s="224"/>
    </row>
    <row r="87" spans="1:6">
      <c r="A87" s="224"/>
      <c r="B87" s="224"/>
      <c r="C87" s="224"/>
      <c r="D87" s="224"/>
      <c r="E87" s="224"/>
      <c r="F87" s="224"/>
    </row>
    <row r="88" spans="1:6">
      <c r="A88" s="224"/>
      <c r="B88" s="224"/>
      <c r="C88" s="224"/>
      <c r="D88" s="224"/>
      <c r="E88" s="224"/>
      <c r="F88" s="224"/>
    </row>
    <row r="89" spans="1:6">
      <c r="A89" s="224"/>
      <c r="B89" s="224"/>
      <c r="C89" s="224"/>
      <c r="D89" s="224"/>
      <c r="E89" s="224"/>
      <c r="F89" s="224"/>
    </row>
    <row r="90" spans="1:6">
      <c r="A90" s="224"/>
      <c r="B90" s="224"/>
      <c r="C90" s="224"/>
      <c r="D90" s="224"/>
      <c r="E90" s="224"/>
      <c r="F90" s="224"/>
    </row>
    <row r="91" spans="1:6">
      <c r="A91" s="224"/>
      <c r="B91" s="224"/>
      <c r="C91" s="224"/>
      <c r="D91" s="224"/>
      <c r="E91" s="224"/>
      <c r="F91" s="224"/>
    </row>
    <row r="92" spans="1:6">
      <c r="A92" s="224"/>
      <c r="B92" s="224"/>
      <c r="C92" s="224"/>
      <c r="D92" s="224"/>
      <c r="E92" s="224"/>
      <c r="F92" s="224"/>
    </row>
    <row r="93" spans="1:6">
      <c r="A93" s="224"/>
      <c r="B93" s="224"/>
      <c r="C93" s="224"/>
      <c r="D93" s="224"/>
      <c r="E93" s="224"/>
      <c r="F93" s="224"/>
    </row>
    <row r="94" spans="1:6">
      <c r="A94" s="224"/>
      <c r="B94" s="224"/>
      <c r="C94" s="224"/>
      <c r="D94" s="224"/>
      <c r="E94" s="224"/>
      <c r="F94" s="224"/>
    </row>
    <row r="95" spans="1:6">
      <c r="A95" s="224"/>
      <c r="B95" s="224"/>
      <c r="C95" s="224"/>
      <c r="D95" s="224"/>
      <c r="E95" s="224"/>
      <c r="F95" s="224"/>
    </row>
    <row r="96" spans="1:6">
      <c r="A96" s="224"/>
      <c r="B96" s="224"/>
      <c r="C96" s="224"/>
      <c r="D96" s="224"/>
      <c r="E96" s="224"/>
      <c r="F96" s="224"/>
    </row>
    <row r="97" spans="1:6">
      <c r="A97" s="224"/>
      <c r="B97" s="224"/>
      <c r="C97" s="224"/>
      <c r="D97" s="224"/>
      <c r="E97" s="224"/>
      <c r="F97" s="224"/>
    </row>
    <row r="98" spans="1:6">
      <c r="A98" s="224"/>
      <c r="B98" s="224"/>
      <c r="C98" s="224"/>
      <c r="D98" s="224"/>
      <c r="E98" s="224"/>
      <c r="F98" s="224"/>
    </row>
    <row r="99" spans="1:6">
      <c r="A99" s="224"/>
      <c r="B99" s="224"/>
      <c r="C99" s="224"/>
      <c r="D99" s="224"/>
      <c r="E99" s="224"/>
      <c r="F99" s="224"/>
    </row>
    <row r="100" spans="1:6">
      <c r="A100" s="224"/>
      <c r="B100" s="224"/>
      <c r="C100" s="224"/>
      <c r="D100" s="224"/>
      <c r="E100" s="224"/>
      <c r="F100" s="224"/>
    </row>
    <row r="101" spans="1:6">
      <c r="A101" s="224"/>
      <c r="B101" s="224"/>
      <c r="C101" s="224"/>
      <c r="D101" s="224"/>
      <c r="E101" s="224"/>
      <c r="F101" s="224"/>
    </row>
    <row r="102" spans="1:6">
      <c r="A102" s="224"/>
      <c r="B102" s="224"/>
      <c r="C102" s="224"/>
      <c r="D102" s="224"/>
      <c r="E102" s="224"/>
      <c r="F102" s="224"/>
    </row>
    <row r="103" spans="1:6">
      <c r="A103" s="224"/>
      <c r="B103" s="224"/>
      <c r="C103" s="224"/>
      <c r="D103" s="224"/>
      <c r="E103" s="224"/>
      <c r="F103" s="224"/>
    </row>
    <row r="104" spans="1:6">
      <c r="A104" s="224"/>
      <c r="B104" s="224"/>
      <c r="C104" s="224"/>
      <c r="D104" s="224"/>
      <c r="E104" s="224"/>
      <c r="F104" s="224"/>
    </row>
    <row r="105" spans="1:6">
      <c r="A105" s="224"/>
      <c r="B105" s="224"/>
      <c r="C105" s="224"/>
      <c r="D105" s="224"/>
      <c r="E105" s="224"/>
      <c r="F105" s="224"/>
    </row>
    <row r="106" spans="1:6">
      <c r="A106" s="224"/>
      <c r="B106" s="224"/>
      <c r="C106" s="224"/>
      <c r="D106" s="224"/>
      <c r="E106" s="224"/>
      <c r="F106" s="224"/>
    </row>
    <row r="107" spans="1:6">
      <c r="A107" s="224"/>
      <c r="B107" s="224"/>
      <c r="C107" s="224"/>
      <c r="D107" s="224"/>
      <c r="E107" s="224"/>
      <c r="F107" s="224"/>
    </row>
    <row r="108" spans="1:6">
      <c r="A108" s="224"/>
      <c r="B108" s="224"/>
      <c r="C108" s="224"/>
      <c r="D108" s="224"/>
      <c r="E108" s="224"/>
      <c r="F108" s="224"/>
    </row>
    <row r="109" spans="1:6">
      <c r="A109" s="224"/>
      <c r="B109" s="224"/>
      <c r="C109" s="224"/>
      <c r="D109" s="224"/>
      <c r="E109" s="224"/>
      <c r="F109" s="224"/>
    </row>
    <row r="110" spans="1:6">
      <c r="A110" s="224"/>
      <c r="B110" s="224"/>
      <c r="C110" s="224"/>
      <c r="D110" s="224"/>
      <c r="E110" s="224"/>
      <c r="F110" s="224"/>
    </row>
    <row r="111" spans="1:6">
      <c r="A111" s="224"/>
      <c r="B111" s="224"/>
      <c r="C111" s="224"/>
      <c r="D111" s="224"/>
      <c r="E111" s="224"/>
      <c r="F111" s="224"/>
    </row>
    <row r="112" spans="1:6">
      <c r="A112" s="224"/>
      <c r="B112" s="224"/>
      <c r="C112" s="224"/>
      <c r="D112" s="224"/>
      <c r="E112" s="224"/>
      <c r="F112" s="224"/>
    </row>
    <row r="113" spans="1:6">
      <c r="A113" s="224"/>
      <c r="B113" s="224"/>
      <c r="C113" s="224"/>
      <c r="D113" s="224"/>
      <c r="E113" s="224"/>
      <c r="F113" s="224"/>
    </row>
    <row r="114" spans="1:6">
      <c r="A114" s="224"/>
      <c r="B114" s="224"/>
      <c r="C114" s="224"/>
      <c r="D114" s="224"/>
      <c r="E114" s="224"/>
      <c r="F114" s="224"/>
    </row>
    <row r="115" spans="1:6">
      <c r="A115" s="224"/>
      <c r="B115" s="224"/>
      <c r="C115" s="224"/>
      <c r="D115" s="224"/>
      <c r="E115" s="224"/>
      <c r="F115" s="224"/>
    </row>
    <row r="116" spans="1:6">
      <c r="A116" s="224"/>
      <c r="B116" s="224"/>
      <c r="C116" s="224"/>
      <c r="D116" s="224"/>
      <c r="E116" s="224"/>
      <c r="F116" s="224"/>
    </row>
    <row r="117" spans="1:6">
      <c r="A117" s="224"/>
      <c r="B117" s="224"/>
      <c r="C117" s="224"/>
      <c r="D117" s="224"/>
      <c r="E117" s="224"/>
      <c r="F117" s="224"/>
    </row>
    <row r="118" spans="1:6">
      <c r="A118" s="224"/>
      <c r="B118" s="224"/>
      <c r="C118" s="224"/>
      <c r="D118" s="224"/>
      <c r="E118" s="224"/>
      <c r="F118" s="224"/>
    </row>
    <row r="119" spans="1:6">
      <c r="A119" s="224"/>
      <c r="B119" s="224"/>
      <c r="C119" s="224"/>
      <c r="D119" s="224"/>
      <c r="E119" s="224"/>
      <c r="F119" s="224"/>
    </row>
    <row r="120" spans="1:6">
      <c r="A120" s="224"/>
      <c r="B120" s="224"/>
      <c r="C120" s="224"/>
      <c r="D120" s="224"/>
      <c r="E120" s="224"/>
      <c r="F120" s="224"/>
    </row>
    <row r="121" spans="1:6">
      <c r="A121" s="224"/>
      <c r="B121" s="224"/>
      <c r="C121" s="224"/>
      <c r="D121" s="224"/>
      <c r="E121" s="224"/>
      <c r="F121" s="224"/>
    </row>
    <row r="122" spans="1:6">
      <c r="A122" s="224"/>
      <c r="B122" s="224"/>
      <c r="C122" s="224"/>
      <c r="D122" s="224"/>
      <c r="E122" s="224"/>
      <c r="F122" s="224"/>
    </row>
    <row r="123" spans="1:6">
      <c r="A123" s="224"/>
      <c r="B123" s="224"/>
      <c r="C123" s="224"/>
      <c r="D123" s="224"/>
      <c r="E123" s="224"/>
      <c r="F123" s="224"/>
    </row>
    <row r="124" spans="1:6">
      <c r="A124" s="224"/>
      <c r="B124" s="224"/>
      <c r="C124" s="224"/>
      <c r="D124" s="224"/>
      <c r="E124" s="224"/>
      <c r="F124" s="224"/>
    </row>
    <row r="125" spans="1:6">
      <c r="A125" s="224"/>
      <c r="B125" s="224"/>
      <c r="C125" s="224"/>
      <c r="D125" s="224"/>
      <c r="E125" s="224"/>
      <c r="F125" s="224"/>
    </row>
    <row r="126" spans="1:6">
      <c r="A126" s="224"/>
      <c r="B126" s="224"/>
      <c r="C126" s="224"/>
      <c r="D126" s="224"/>
      <c r="E126" s="224"/>
      <c r="F126" s="224"/>
    </row>
    <row r="127" spans="1:6">
      <c r="A127" s="224"/>
      <c r="B127" s="224"/>
      <c r="C127" s="224"/>
      <c r="D127" s="224"/>
      <c r="E127" s="224"/>
      <c r="F127" s="224"/>
    </row>
    <row r="128" spans="1:6">
      <c r="A128" s="224"/>
      <c r="B128" s="224"/>
      <c r="C128" s="224"/>
      <c r="D128" s="224"/>
      <c r="E128" s="224"/>
      <c r="F128" s="224"/>
    </row>
    <row r="129" spans="1:6">
      <c r="A129" s="224"/>
      <c r="B129" s="224"/>
      <c r="C129" s="224"/>
      <c r="D129" s="224"/>
      <c r="E129" s="224"/>
      <c r="F129" s="224"/>
    </row>
    <row r="130" spans="1:6">
      <c r="A130" s="224"/>
      <c r="B130" s="224"/>
      <c r="C130" s="224"/>
      <c r="D130" s="224"/>
      <c r="E130" s="224"/>
      <c r="F130" s="224"/>
    </row>
    <row r="131" spans="1:6">
      <c r="A131" s="224"/>
      <c r="B131" s="224"/>
      <c r="C131" s="224"/>
      <c r="D131" s="224"/>
      <c r="E131" s="224"/>
      <c r="F131" s="224"/>
    </row>
    <row r="132" spans="1:6">
      <c r="A132" s="224"/>
      <c r="B132" s="224"/>
      <c r="C132" s="224"/>
      <c r="D132" s="224"/>
      <c r="E132" s="224"/>
      <c r="F132" s="224"/>
    </row>
    <row r="133" spans="1:6">
      <c r="A133" s="224"/>
      <c r="B133" s="224"/>
      <c r="C133" s="224"/>
      <c r="D133" s="224"/>
      <c r="E133" s="224"/>
      <c r="F133" s="224"/>
    </row>
    <row r="134" spans="1:6">
      <c r="A134" s="224"/>
      <c r="B134" s="224"/>
      <c r="C134" s="224"/>
      <c r="D134" s="224"/>
      <c r="E134" s="224"/>
      <c r="F134" s="224"/>
    </row>
    <row r="135" spans="1:6">
      <c r="A135" s="224"/>
      <c r="B135" s="224"/>
      <c r="C135" s="224"/>
      <c r="D135" s="224"/>
      <c r="E135" s="224"/>
      <c r="F135" s="224"/>
    </row>
    <row r="136" spans="1:6">
      <c r="A136" s="224"/>
      <c r="B136" s="224"/>
      <c r="C136" s="224"/>
      <c r="D136" s="224"/>
      <c r="E136" s="224"/>
      <c r="F136" s="224"/>
    </row>
    <row r="137" spans="1:6">
      <c r="A137" s="224"/>
      <c r="B137" s="224"/>
      <c r="C137" s="224"/>
      <c r="D137" s="224"/>
      <c r="E137" s="224"/>
      <c r="F137" s="224"/>
    </row>
    <row r="138" spans="1:6">
      <c r="A138" s="224"/>
      <c r="B138" s="224"/>
      <c r="C138" s="224"/>
      <c r="D138" s="224"/>
      <c r="E138" s="224"/>
      <c r="F138" s="224"/>
    </row>
    <row r="139" spans="1:6">
      <c r="A139" s="224"/>
      <c r="B139" s="224"/>
      <c r="C139" s="224"/>
      <c r="D139" s="224"/>
      <c r="E139" s="224"/>
      <c r="F139" s="224"/>
    </row>
    <row r="140" spans="1:6">
      <c r="A140" s="224"/>
      <c r="B140" s="224"/>
      <c r="C140" s="224"/>
      <c r="D140" s="224"/>
      <c r="E140" s="224"/>
      <c r="F140" s="224"/>
    </row>
    <row r="141" spans="1:6">
      <c r="A141" s="224"/>
      <c r="B141" s="224"/>
      <c r="C141" s="224"/>
      <c r="D141" s="224"/>
      <c r="E141" s="224"/>
      <c r="F141" s="224"/>
    </row>
    <row r="142" spans="1:6">
      <c r="A142" s="224"/>
      <c r="B142" s="224"/>
      <c r="C142" s="224"/>
      <c r="D142" s="224"/>
      <c r="E142" s="224"/>
      <c r="F142" s="224"/>
    </row>
    <row r="143" spans="1:6">
      <c r="A143" s="224"/>
      <c r="B143" s="224"/>
      <c r="C143" s="224"/>
      <c r="D143" s="224"/>
      <c r="E143" s="224"/>
      <c r="F143" s="224"/>
    </row>
    <row r="144" spans="1:6">
      <c r="A144" s="224"/>
      <c r="B144" s="224"/>
      <c r="C144" s="224"/>
      <c r="D144" s="224"/>
      <c r="E144" s="224"/>
      <c r="F144" s="224"/>
    </row>
    <row r="145" spans="1:6">
      <c r="A145" s="224"/>
      <c r="B145" s="224"/>
      <c r="C145" s="224"/>
      <c r="D145" s="224"/>
      <c r="E145" s="224"/>
      <c r="F145" s="224"/>
    </row>
    <row r="146" spans="1:6">
      <c r="A146" s="224"/>
      <c r="B146" s="224"/>
      <c r="C146" s="224"/>
      <c r="D146" s="224"/>
      <c r="E146" s="224"/>
      <c r="F146" s="224"/>
    </row>
    <row r="147" spans="1:6">
      <c r="A147" s="224"/>
      <c r="B147" s="224"/>
      <c r="C147" s="224"/>
      <c r="D147" s="224"/>
      <c r="E147" s="224"/>
      <c r="F147" s="224"/>
    </row>
    <row r="148" spans="1:6">
      <c r="A148" s="224"/>
      <c r="B148" s="224"/>
      <c r="C148" s="224"/>
      <c r="D148" s="224"/>
      <c r="E148" s="224"/>
      <c r="F148" s="224"/>
    </row>
    <row r="149" spans="1:6">
      <c r="A149" s="224"/>
      <c r="B149" s="224"/>
      <c r="C149" s="224"/>
      <c r="D149" s="224"/>
      <c r="E149" s="224"/>
      <c r="F149" s="224"/>
    </row>
    <row r="150" spans="1:6">
      <c r="A150" s="224"/>
      <c r="B150" s="224"/>
      <c r="C150" s="224"/>
      <c r="D150" s="224"/>
      <c r="E150" s="224"/>
      <c r="F150" s="224"/>
    </row>
    <row r="151" spans="1:6">
      <c r="A151" s="224"/>
      <c r="B151" s="224"/>
      <c r="C151" s="224"/>
      <c r="D151" s="224"/>
      <c r="E151" s="224"/>
      <c r="F151" s="224"/>
    </row>
    <row r="152" spans="1:6">
      <c r="A152" s="224"/>
      <c r="B152" s="224"/>
      <c r="C152" s="224"/>
      <c r="D152" s="224"/>
      <c r="E152" s="224"/>
      <c r="F152" s="224"/>
    </row>
    <row r="153" spans="1:6">
      <c r="A153" s="224"/>
      <c r="B153" s="224"/>
      <c r="C153" s="224"/>
      <c r="D153" s="224"/>
      <c r="E153" s="224"/>
      <c r="F153" s="224"/>
    </row>
    <row r="154" spans="1:6">
      <c r="A154" s="224"/>
      <c r="B154" s="224"/>
      <c r="C154" s="224"/>
      <c r="D154" s="224"/>
      <c r="E154" s="224"/>
      <c r="F154" s="224"/>
    </row>
    <row r="155" spans="1:6">
      <c r="A155" s="224"/>
      <c r="B155" s="224"/>
      <c r="C155" s="224"/>
      <c r="D155" s="224"/>
      <c r="E155" s="224"/>
      <c r="F155" s="224"/>
    </row>
    <row r="156" spans="1:6">
      <c r="A156" s="224"/>
      <c r="B156" s="224"/>
      <c r="C156" s="224"/>
      <c r="D156" s="224"/>
      <c r="E156" s="224"/>
      <c r="F156" s="224"/>
    </row>
    <row r="157" spans="1:6">
      <c r="A157" s="224"/>
      <c r="B157" s="224"/>
      <c r="C157" s="224"/>
      <c r="D157" s="224"/>
      <c r="E157" s="224"/>
      <c r="F157" s="224"/>
    </row>
    <row r="158" spans="1:6">
      <c r="A158" s="224"/>
      <c r="B158" s="224"/>
      <c r="C158" s="224"/>
      <c r="D158" s="224"/>
      <c r="E158" s="224"/>
      <c r="F158" s="224"/>
    </row>
    <row r="159" spans="1:6">
      <c r="A159" s="224"/>
      <c r="B159" s="224"/>
      <c r="C159" s="224"/>
      <c r="D159" s="224"/>
      <c r="E159" s="224"/>
      <c r="F159" s="224"/>
    </row>
    <row r="160" spans="1:6">
      <c r="A160" s="224"/>
      <c r="B160" s="224"/>
      <c r="C160" s="224"/>
      <c r="D160" s="224"/>
      <c r="E160" s="224"/>
      <c r="F160" s="224"/>
    </row>
    <row r="161" spans="1:6">
      <c r="A161" s="224"/>
      <c r="B161" s="224"/>
      <c r="C161" s="224"/>
      <c r="D161" s="224"/>
      <c r="E161" s="224"/>
      <c r="F161" s="224"/>
    </row>
    <row r="162" spans="1:6">
      <c r="A162" s="224"/>
      <c r="B162" s="224"/>
      <c r="C162" s="224"/>
      <c r="D162" s="224"/>
      <c r="E162" s="224"/>
      <c r="F162" s="224"/>
    </row>
    <row r="163" spans="1:6">
      <c r="A163" s="224"/>
      <c r="B163" s="224"/>
      <c r="C163" s="224"/>
      <c r="D163" s="224"/>
      <c r="E163" s="224"/>
      <c r="F163" s="224"/>
    </row>
    <row r="164" spans="1:6">
      <c r="A164" s="224"/>
      <c r="B164" s="224"/>
      <c r="C164" s="224"/>
      <c r="D164" s="224"/>
      <c r="E164" s="224"/>
      <c r="F164" s="224"/>
    </row>
    <row r="165" spans="1:6">
      <c r="A165" s="224"/>
      <c r="B165" s="224"/>
      <c r="C165" s="224"/>
      <c r="D165" s="224"/>
      <c r="E165" s="224"/>
      <c r="F165" s="224"/>
    </row>
    <row r="166" spans="1:6">
      <c r="A166" s="224"/>
      <c r="B166" s="224"/>
      <c r="C166" s="224"/>
      <c r="D166" s="224"/>
      <c r="E166" s="224"/>
      <c r="F166" s="224"/>
    </row>
    <row r="167" spans="1:6">
      <c r="A167" s="224"/>
      <c r="B167" s="224"/>
      <c r="C167" s="224"/>
      <c r="D167" s="224"/>
      <c r="E167" s="224"/>
      <c r="F167" s="224"/>
    </row>
    <row r="168" spans="1:6">
      <c r="A168" s="224"/>
      <c r="B168" s="224"/>
      <c r="C168" s="224"/>
      <c r="D168" s="224"/>
      <c r="E168" s="224"/>
      <c r="F168" s="224"/>
    </row>
    <row r="169" spans="1:6">
      <c r="A169" s="224"/>
      <c r="B169" s="224"/>
      <c r="C169" s="224"/>
      <c r="D169" s="224"/>
      <c r="E169" s="224"/>
      <c r="F169" s="224"/>
    </row>
    <row r="170" spans="1:6">
      <c r="A170" s="224"/>
      <c r="B170" s="224"/>
      <c r="C170" s="224"/>
      <c r="D170" s="224"/>
      <c r="E170" s="224"/>
      <c r="F170" s="224"/>
    </row>
    <row r="171" spans="1:6">
      <c r="A171" s="224"/>
      <c r="B171" s="224"/>
      <c r="C171" s="224"/>
      <c r="D171" s="224"/>
      <c r="E171" s="224"/>
      <c r="F171" s="224"/>
    </row>
    <row r="172" spans="1:6">
      <c r="A172" s="224"/>
      <c r="B172" s="224"/>
      <c r="C172" s="224"/>
      <c r="D172" s="224"/>
      <c r="E172" s="224"/>
      <c r="F172" s="224"/>
    </row>
    <row r="173" spans="1:6">
      <c r="A173" s="224"/>
      <c r="B173" s="224"/>
      <c r="C173" s="224"/>
      <c r="D173" s="224"/>
      <c r="E173" s="224"/>
      <c r="F173" s="224"/>
    </row>
    <row r="174" spans="1:6">
      <c r="A174" s="224"/>
      <c r="B174" s="224"/>
      <c r="C174" s="224"/>
      <c r="D174" s="224"/>
      <c r="E174" s="224"/>
      <c r="F174" s="224"/>
    </row>
    <row r="175" spans="1:6">
      <c r="A175" s="224"/>
      <c r="B175" s="224"/>
      <c r="C175" s="224"/>
      <c r="D175" s="224"/>
      <c r="E175" s="224"/>
      <c r="F175" s="224"/>
    </row>
    <row r="176" spans="1:6">
      <c r="A176" s="224"/>
      <c r="B176" s="224"/>
      <c r="C176" s="224"/>
      <c r="D176" s="224"/>
      <c r="E176" s="224"/>
      <c r="F176" s="224"/>
    </row>
    <row r="177" spans="1:6">
      <c r="A177" s="224"/>
      <c r="B177" s="224"/>
      <c r="C177" s="224"/>
      <c r="D177" s="224"/>
      <c r="E177" s="224"/>
      <c r="F177" s="224"/>
    </row>
    <row r="178" spans="1:6">
      <c r="A178" s="224"/>
      <c r="B178" s="224"/>
      <c r="C178" s="224"/>
      <c r="D178" s="224"/>
      <c r="E178" s="224"/>
      <c r="F178" s="224"/>
    </row>
    <row r="179" spans="1:6">
      <c r="A179" s="224"/>
      <c r="B179" s="224"/>
      <c r="C179" s="224"/>
      <c r="D179" s="224"/>
      <c r="E179" s="224"/>
      <c r="F179" s="224"/>
    </row>
    <row r="180" spans="1:6">
      <c r="A180" s="224"/>
      <c r="B180" s="224"/>
      <c r="C180" s="224"/>
      <c r="D180" s="224"/>
      <c r="E180" s="224"/>
      <c r="F180" s="224"/>
    </row>
    <row r="181" spans="1:6">
      <c r="A181" s="224"/>
      <c r="B181" s="224"/>
      <c r="C181" s="224"/>
      <c r="D181" s="224"/>
      <c r="E181" s="224"/>
      <c r="F181" s="224"/>
    </row>
    <row r="182" spans="1:6">
      <c r="A182" s="224"/>
      <c r="B182" s="224"/>
      <c r="C182" s="224"/>
      <c r="D182" s="224"/>
      <c r="E182" s="224"/>
      <c r="F182" s="224"/>
    </row>
    <row r="183" spans="1:6">
      <c r="A183" s="224"/>
      <c r="B183" s="224"/>
      <c r="C183" s="224"/>
      <c r="D183" s="224"/>
      <c r="E183" s="224"/>
      <c r="F183" s="224"/>
    </row>
    <row r="184" spans="1:6">
      <c r="A184" s="224"/>
      <c r="B184" s="224"/>
      <c r="C184" s="224"/>
      <c r="D184" s="224"/>
      <c r="E184" s="224"/>
      <c r="F184" s="224"/>
    </row>
    <row r="185" spans="1:6">
      <c r="A185" s="224"/>
      <c r="B185" s="224"/>
      <c r="C185" s="224"/>
      <c r="D185" s="224"/>
      <c r="E185" s="224"/>
      <c r="F185" s="224"/>
    </row>
    <row r="186" spans="1:6">
      <c r="A186" s="224"/>
      <c r="B186" s="224"/>
      <c r="C186" s="224"/>
      <c r="D186" s="224"/>
      <c r="E186" s="224"/>
      <c r="F186" s="224"/>
    </row>
    <row r="187" spans="1:6">
      <c r="A187" s="224"/>
      <c r="B187" s="224"/>
      <c r="C187" s="224"/>
      <c r="D187" s="224"/>
      <c r="E187" s="224"/>
      <c r="F187" s="224"/>
    </row>
    <row r="188" spans="1:6">
      <c r="A188" s="224"/>
      <c r="B188" s="224"/>
      <c r="C188" s="224"/>
      <c r="D188" s="224"/>
      <c r="E188" s="224"/>
      <c r="F188" s="224"/>
    </row>
    <row r="189" spans="1:6">
      <c r="A189" s="224"/>
      <c r="B189" s="224"/>
      <c r="C189" s="224"/>
      <c r="D189" s="224"/>
      <c r="E189" s="224"/>
      <c r="F189" s="224"/>
    </row>
    <row r="190" spans="1:6">
      <c r="A190" s="224"/>
      <c r="B190" s="224"/>
      <c r="C190" s="224"/>
      <c r="D190" s="224"/>
      <c r="E190" s="224"/>
      <c r="F190" s="224"/>
    </row>
    <row r="191" spans="1:6">
      <c r="A191" s="224"/>
      <c r="B191" s="224"/>
      <c r="C191" s="224"/>
      <c r="D191" s="224"/>
      <c r="E191" s="224"/>
      <c r="F191" s="224"/>
    </row>
    <row r="192" spans="1:6">
      <c r="A192" s="224"/>
      <c r="B192" s="224"/>
      <c r="C192" s="224"/>
      <c r="D192" s="224"/>
      <c r="E192" s="224"/>
      <c r="F192" s="224"/>
    </row>
    <row r="193" spans="1:6">
      <c r="A193" s="224"/>
      <c r="B193" s="224"/>
      <c r="C193" s="224"/>
      <c r="D193" s="224"/>
      <c r="E193" s="224"/>
      <c r="F193" s="224"/>
    </row>
    <row r="194" spans="1:6">
      <c r="A194" s="224"/>
      <c r="B194" s="224"/>
      <c r="C194" s="224"/>
      <c r="D194" s="224"/>
      <c r="E194" s="224"/>
      <c r="F194" s="224"/>
    </row>
    <row r="195" spans="1:6">
      <c r="A195" s="224"/>
      <c r="B195" s="224"/>
      <c r="C195" s="224"/>
      <c r="D195" s="224"/>
      <c r="E195" s="224"/>
      <c r="F195" s="224"/>
    </row>
    <row r="196" spans="1:6">
      <c r="A196" s="224"/>
      <c r="B196" s="224"/>
      <c r="C196" s="224"/>
      <c r="D196" s="224"/>
      <c r="E196" s="224"/>
      <c r="F196" s="224"/>
    </row>
    <row r="197" spans="1:6">
      <c r="A197" s="224"/>
      <c r="B197" s="224"/>
      <c r="C197" s="224"/>
      <c r="D197" s="224"/>
      <c r="E197" s="224"/>
      <c r="F197" s="224"/>
    </row>
    <row r="198" spans="1:6">
      <c r="A198" s="224"/>
      <c r="B198" s="224"/>
      <c r="C198" s="224"/>
      <c r="D198" s="224"/>
      <c r="E198" s="224"/>
      <c r="F198" s="224"/>
    </row>
    <row r="199" spans="1:6">
      <c r="A199" s="224"/>
      <c r="B199" s="224"/>
      <c r="C199" s="224"/>
      <c r="D199" s="224"/>
      <c r="E199" s="224"/>
      <c r="F199" s="224"/>
    </row>
    <row r="200" spans="1:6">
      <c r="A200" s="224"/>
      <c r="B200" s="224"/>
      <c r="C200" s="224"/>
      <c r="D200" s="224"/>
      <c r="E200" s="224"/>
      <c r="F200" s="224"/>
    </row>
    <row r="201" spans="1:6">
      <c r="A201" s="224"/>
      <c r="B201" s="224"/>
      <c r="C201" s="224"/>
      <c r="D201" s="224"/>
      <c r="E201" s="224"/>
      <c r="F201" s="224"/>
    </row>
    <row r="202" spans="1:6">
      <c r="A202" s="224"/>
      <c r="B202" s="224"/>
      <c r="C202" s="224"/>
      <c r="D202" s="224"/>
      <c r="E202" s="224"/>
      <c r="F202" s="224"/>
    </row>
    <row r="203" spans="1:6">
      <c r="A203" s="224"/>
      <c r="B203" s="224"/>
      <c r="C203" s="224"/>
      <c r="D203" s="224"/>
      <c r="E203" s="224"/>
      <c r="F203" s="224"/>
    </row>
    <row r="204" spans="1:6">
      <c r="A204" s="224"/>
      <c r="B204" s="224"/>
      <c r="C204" s="224"/>
      <c r="D204" s="224"/>
      <c r="E204" s="224"/>
      <c r="F204" s="224"/>
    </row>
    <row r="205" spans="1:6">
      <c r="A205" s="224"/>
      <c r="B205" s="224"/>
      <c r="C205" s="224"/>
      <c r="D205" s="224"/>
      <c r="E205" s="224"/>
      <c r="F205" s="224"/>
    </row>
    <row r="206" spans="1:6">
      <c r="A206" s="224"/>
      <c r="B206" s="224"/>
      <c r="C206" s="224"/>
      <c r="D206" s="224"/>
      <c r="E206" s="224"/>
      <c r="F206" s="224"/>
    </row>
    <row r="207" spans="1:6">
      <c r="A207" s="224"/>
      <c r="B207" s="224"/>
      <c r="C207" s="224"/>
      <c r="D207" s="224"/>
      <c r="E207" s="224"/>
      <c r="F207" s="224"/>
    </row>
    <row r="208" spans="1:6">
      <c r="A208" s="224"/>
      <c r="B208" s="224"/>
      <c r="C208" s="224"/>
      <c r="D208" s="224"/>
      <c r="E208" s="224"/>
      <c r="F208" s="224"/>
    </row>
    <row r="209" spans="1:6">
      <c r="A209" s="224"/>
      <c r="B209" s="224"/>
      <c r="C209" s="224"/>
      <c r="D209" s="224"/>
      <c r="E209" s="224"/>
      <c r="F209" s="224"/>
    </row>
    <row r="210" spans="1:6">
      <c r="A210" s="224"/>
      <c r="B210" s="224"/>
      <c r="C210" s="224"/>
      <c r="D210" s="224"/>
      <c r="E210" s="224"/>
      <c r="F210" s="224"/>
    </row>
    <row r="211" spans="1:6">
      <c r="A211" s="224"/>
      <c r="B211" s="224"/>
      <c r="C211" s="224"/>
      <c r="D211" s="224"/>
      <c r="E211" s="224"/>
      <c r="F211" s="224"/>
    </row>
    <row r="212" spans="1:6">
      <c r="A212" s="224"/>
      <c r="B212" s="224"/>
      <c r="C212" s="224"/>
      <c r="D212" s="224"/>
      <c r="E212" s="224"/>
      <c r="F212" s="224"/>
    </row>
    <row r="213" spans="1:6">
      <c r="A213" s="224"/>
      <c r="B213" s="224"/>
      <c r="C213" s="224"/>
      <c r="D213" s="224"/>
      <c r="E213" s="224"/>
      <c r="F213" s="224"/>
    </row>
    <row r="214" spans="1:6">
      <c r="A214" s="224"/>
      <c r="B214" s="224"/>
      <c r="C214" s="224"/>
      <c r="D214" s="224"/>
      <c r="E214" s="224"/>
      <c r="F214" s="224"/>
    </row>
    <row r="215" spans="1:6">
      <c r="A215" s="224"/>
      <c r="B215" s="224"/>
      <c r="C215" s="224"/>
      <c r="D215" s="224"/>
      <c r="E215" s="224"/>
      <c r="F215" s="224"/>
    </row>
    <row r="216" spans="1:6">
      <c r="A216" s="224"/>
      <c r="B216" s="224"/>
      <c r="C216" s="224"/>
      <c r="D216" s="224"/>
      <c r="E216" s="224"/>
      <c r="F216" s="224"/>
    </row>
    <row r="217" spans="1:6">
      <c r="A217" s="224"/>
      <c r="B217" s="224"/>
      <c r="C217" s="224"/>
      <c r="D217" s="224"/>
      <c r="E217" s="224"/>
      <c r="F217" s="224"/>
    </row>
    <row r="218" spans="1:6">
      <c r="A218" s="224"/>
      <c r="B218" s="224"/>
      <c r="C218" s="224"/>
      <c r="D218" s="224"/>
      <c r="E218" s="224"/>
      <c r="F218" s="224"/>
    </row>
    <row r="219" spans="1:6">
      <c r="A219" s="224"/>
      <c r="B219" s="224"/>
      <c r="C219" s="224"/>
      <c r="D219" s="224"/>
      <c r="E219" s="224"/>
      <c r="F219" s="224"/>
    </row>
    <row r="220" spans="1:6">
      <c r="A220" s="224"/>
      <c r="B220" s="224"/>
      <c r="C220" s="224"/>
      <c r="D220" s="224"/>
      <c r="E220" s="224"/>
      <c r="F220" s="224"/>
    </row>
    <row r="221" spans="1:6">
      <c r="A221" s="224"/>
      <c r="B221" s="224"/>
      <c r="C221" s="224"/>
      <c r="D221" s="224"/>
      <c r="E221" s="224"/>
      <c r="F221" s="224"/>
    </row>
    <row r="222" spans="1:6">
      <c r="A222" s="224"/>
      <c r="B222" s="224"/>
      <c r="C222" s="224"/>
      <c r="D222" s="224"/>
      <c r="E222" s="224"/>
      <c r="F222" s="224"/>
    </row>
    <row r="223" spans="1:6">
      <c r="A223" s="224"/>
      <c r="B223" s="224"/>
      <c r="C223" s="224"/>
      <c r="D223" s="224"/>
      <c r="E223" s="224"/>
      <c r="F223" s="224"/>
    </row>
    <row r="224" spans="1:6">
      <c r="A224" s="224"/>
      <c r="B224" s="224"/>
      <c r="C224" s="224"/>
      <c r="D224" s="224"/>
      <c r="E224" s="224"/>
      <c r="F224" s="224"/>
    </row>
    <row r="225" spans="1:6">
      <c r="A225" s="224"/>
      <c r="B225" s="224"/>
      <c r="C225" s="224"/>
      <c r="D225" s="224"/>
      <c r="E225" s="224"/>
      <c r="F225" s="224"/>
    </row>
    <row r="226" spans="1:6">
      <c r="A226" s="224"/>
      <c r="B226" s="224"/>
      <c r="C226" s="224"/>
      <c r="D226" s="224"/>
      <c r="E226" s="224"/>
      <c r="F226" s="224"/>
    </row>
    <row r="227" spans="1:6">
      <c r="A227" s="224"/>
      <c r="B227" s="224"/>
      <c r="C227" s="224"/>
      <c r="D227" s="224"/>
      <c r="E227" s="224"/>
      <c r="F227" s="224"/>
    </row>
    <row r="228" spans="1:6">
      <c r="A228" s="224"/>
      <c r="B228" s="224"/>
      <c r="C228" s="224"/>
      <c r="D228" s="224"/>
      <c r="E228" s="224"/>
      <c r="F228" s="224"/>
    </row>
    <row r="229" spans="1:6">
      <c r="A229" s="224"/>
      <c r="B229" s="224"/>
      <c r="C229" s="224"/>
      <c r="D229" s="224"/>
      <c r="E229" s="224"/>
      <c r="F229" s="224"/>
    </row>
    <row r="230" spans="1:6">
      <c r="A230" s="224"/>
      <c r="B230" s="224"/>
      <c r="C230" s="224"/>
      <c r="D230" s="224"/>
      <c r="E230" s="224"/>
      <c r="F230" s="224"/>
    </row>
    <row r="231" spans="1:6">
      <c r="A231" s="224"/>
      <c r="B231" s="224"/>
      <c r="C231" s="224"/>
      <c r="D231" s="224"/>
      <c r="E231" s="224"/>
      <c r="F231" s="224"/>
    </row>
    <row r="232" spans="1:6">
      <c r="A232" s="224"/>
      <c r="B232" s="224"/>
      <c r="C232" s="224"/>
      <c r="D232" s="224"/>
      <c r="E232" s="224"/>
      <c r="F232" s="224"/>
    </row>
    <row r="233" spans="1:6">
      <c r="A233" s="224"/>
      <c r="B233" s="224"/>
      <c r="C233" s="224"/>
      <c r="D233" s="224"/>
      <c r="E233" s="224"/>
      <c r="F233" s="224"/>
    </row>
    <row r="234" spans="1:6">
      <c r="A234" s="224"/>
      <c r="B234" s="224"/>
      <c r="C234" s="224"/>
      <c r="D234" s="224"/>
      <c r="E234" s="224"/>
      <c r="F234" s="224"/>
    </row>
    <row r="235" spans="1:6">
      <c r="A235" s="224"/>
      <c r="B235" s="224"/>
      <c r="C235" s="224"/>
      <c r="D235" s="224"/>
      <c r="E235" s="224"/>
      <c r="F235" s="224"/>
    </row>
    <row r="236" spans="1:6">
      <c r="A236" s="224"/>
      <c r="B236" s="224"/>
      <c r="C236" s="224"/>
      <c r="D236" s="224"/>
      <c r="E236" s="224"/>
      <c r="F236" s="224"/>
    </row>
    <row r="237" spans="1:6">
      <c r="A237" s="224"/>
      <c r="B237" s="224"/>
      <c r="C237" s="224"/>
      <c r="D237" s="224"/>
      <c r="E237" s="224"/>
      <c r="F237" s="224"/>
    </row>
    <row r="238" spans="1:6">
      <c r="A238" s="224"/>
      <c r="B238" s="224"/>
      <c r="C238" s="224"/>
      <c r="D238" s="224"/>
      <c r="E238" s="224"/>
      <c r="F238" s="224"/>
    </row>
    <row r="239" spans="1:6">
      <c r="A239" s="224"/>
      <c r="B239" s="224"/>
      <c r="C239" s="224"/>
      <c r="D239" s="224"/>
      <c r="E239" s="224"/>
      <c r="F239" s="224"/>
    </row>
    <row r="240" spans="1:6">
      <c r="A240" s="224"/>
      <c r="B240" s="224"/>
      <c r="C240" s="224"/>
      <c r="D240" s="224"/>
      <c r="E240" s="224"/>
      <c r="F240" s="224"/>
    </row>
    <row r="241" spans="1:6">
      <c r="A241" s="224"/>
      <c r="B241" s="224"/>
      <c r="C241" s="224"/>
      <c r="D241" s="224"/>
      <c r="E241" s="224"/>
      <c r="F241" s="224"/>
    </row>
    <row r="242" spans="1:6">
      <c r="A242" s="224"/>
      <c r="B242" s="224"/>
      <c r="C242" s="224"/>
      <c r="D242" s="224"/>
      <c r="E242" s="224"/>
      <c r="F242" s="224"/>
    </row>
    <row r="243" spans="1:6">
      <c r="A243" s="224"/>
      <c r="B243" s="224"/>
      <c r="C243" s="224"/>
      <c r="D243" s="224"/>
      <c r="E243" s="224"/>
      <c r="F243" s="224"/>
    </row>
    <row r="244" spans="1:6">
      <c r="A244" s="224"/>
      <c r="B244" s="224"/>
      <c r="C244" s="224"/>
      <c r="D244" s="224"/>
      <c r="E244" s="224"/>
      <c r="F244" s="224"/>
    </row>
    <row r="245" spans="1:6">
      <c r="A245" s="224"/>
      <c r="B245" s="224"/>
      <c r="C245" s="224"/>
      <c r="D245" s="224"/>
      <c r="E245" s="224"/>
      <c r="F245" s="224"/>
    </row>
    <row r="246" spans="1:6">
      <c r="A246" s="224"/>
      <c r="B246" s="224"/>
      <c r="C246" s="224"/>
      <c r="D246" s="224"/>
      <c r="E246" s="224"/>
      <c r="F246" s="224"/>
    </row>
    <row r="247" spans="1:6">
      <c r="A247" s="224"/>
      <c r="B247" s="224"/>
      <c r="C247" s="224"/>
      <c r="D247" s="224"/>
      <c r="E247" s="224"/>
      <c r="F247" s="224"/>
    </row>
    <row r="248" spans="1:6">
      <c r="A248" s="224"/>
      <c r="B248" s="224"/>
      <c r="C248" s="224"/>
      <c r="D248" s="224"/>
      <c r="E248" s="224"/>
      <c r="F248" s="224"/>
    </row>
    <row r="249" spans="1:6">
      <c r="A249" s="224"/>
      <c r="B249" s="224"/>
      <c r="C249" s="224"/>
      <c r="D249" s="224"/>
      <c r="E249" s="224"/>
      <c r="F249" s="224"/>
    </row>
    <row r="250" spans="1:6">
      <c r="A250" s="224"/>
      <c r="B250" s="224"/>
      <c r="C250" s="224"/>
      <c r="D250" s="224"/>
      <c r="E250" s="224"/>
      <c r="F250" s="224"/>
    </row>
    <row r="251" spans="1:6">
      <c r="A251" s="224"/>
      <c r="B251" s="224"/>
      <c r="C251" s="224"/>
      <c r="D251" s="224"/>
      <c r="E251" s="224"/>
      <c r="F251" s="224"/>
    </row>
    <row r="252" spans="1:6">
      <c r="A252" s="224"/>
      <c r="B252" s="224"/>
      <c r="C252" s="224"/>
      <c r="D252" s="224"/>
      <c r="E252" s="224"/>
      <c r="F252" s="224"/>
    </row>
    <row r="253" spans="1:6">
      <c r="A253" s="224"/>
      <c r="B253" s="224"/>
      <c r="C253" s="224"/>
      <c r="D253" s="224"/>
      <c r="E253" s="224"/>
      <c r="F253" s="224"/>
    </row>
    <row r="254" spans="1:6">
      <c r="A254" s="224"/>
      <c r="B254" s="224"/>
      <c r="C254" s="224"/>
      <c r="D254" s="224"/>
      <c r="E254" s="224"/>
      <c r="F254" s="224"/>
    </row>
    <row r="255" spans="1:6">
      <c r="A255" s="224"/>
      <c r="B255" s="224"/>
      <c r="C255" s="224"/>
      <c r="D255" s="224"/>
      <c r="E255" s="224"/>
      <c r="F255" s="224"/>
    </row>
    <row r="256" spans="1:6">
      <c r="A256" s="224"/>
      <c r="B256" s="224"/>
      <c r="C256" s="224"/>
      <c r="D256" s="224"/>
      <c r="E256" s="224"/>
      <c r="F256" s="224"/>
    </row>
    <row r="257" spans="1:6">
      <c r="A257" s="224"/>
      <c r="B257" s="224"/>
      <c r="C257" s="224"/>
      <c r="D257" s="224"/>
      <c r="E257" s="224"/>
      <c r="F257" s="224"/>
    </row>
    <row r="258" spans="1:6">
      <c r="A258" s="224"/>
      <c r="B258" s="224"/>
      <c r="C258" s="224"/>
      <c r="D258" s="224"/>
      <c r="E258" s="224"/>
      <c r="F258" s="224"/>
    </row>
    <row r="259" spans="1:6">
      <c r="A259" s="224"/>
      <c r="B259" s="224"/>
      <c r="C259" s="224"/>
      <c r="D259" s="224"/>
      <c r="E259" s="224"/>
      <c r="F259" s="224"/>
    </row>
    <row r="260" spans="1:6">
      <c r="A260" s="224"/>
      <c r="B260" s="224"/>
      <c r="C260" s="224"/>
      <c r="D260" s="224"/>
      <c r="E260" s="224"/>
      <c r="F260" s="224"/>
    </row>
    <row r="261" spans="1:6">
      <c r="A261" s="224"/>
      <c r="B261" s="224"/>
      <c r="C261" s="224"/>
      <c r="D261" s="224"/>
      <c r="E261" s="224"/>
      <c r="F261" s="224"/>
    </row>
    <row r="262" spans="1:6">
      <c r="A262" s="224"/>
      <c r="B262" s="224"/>
      <c r="C262" s="224"/>
      <c r="D262" s="224"/>
      <c r="E262" s="224"/>
      <c r="F262" s="224"/>
    </row>
    <row r="263" spans="1:6">
      <c r="A263" s="224"/>
      <c r="B263" s="224"/>
      <c r="C263" s="224"/>
      <c r="D263" s="224"/>
      <c r="E263" s="224"/>
      <c r="F263" s="224"/>
    </row>
    <row r="264" spans="1:6">
      <c r="A264" s="224"/>
      <c r="B264" s="224"/>
      <c r="C264" s="224"/>
      <c r="D264" s="224"/>
      <c r="E264" s="224"/>
      <c r="F264" s="224"/>
    </row>
    <row r="265" spans="1:6">
      <c r="A265" s="224"/>
      <c r="B265" s="224"/>
      <c r="C265" s="224"/>
      <c r="D265" s="224"/>
      <c r="E265" s="224"/>
      <c r="F265" s="224"/>
    </row>
    <row r="266" spans="1:6">
      <c r="A266" s="224"/>
      <c r="B266" s="224"/>
      <c r="C266" s="224"/>
      <c r="D266" s="224"/>
      <c r="E266" s="224"/>
      <c r="F266" s="224"/>
    </row>
    <row r="267" spans="1:6">
      <c r="A267" s="224"/>
      <c r="B267" s="224"/>
      <c r="C267" s="224"/>
      <c r="D267" s="224"/>
      <c r="E267" s="224"/>
      <c r="F267" s="224"/>
    </row>
    <row r="268" spans="1:6">
      <c r="A268" s="224"/>
      <c r="B268" s="224"/>
      <c r="C268" s="224"/>
      <c r="D268" s="224"/>
      <c r="E268" s="224"/>
      <c r="F268" s="224"/>
    </row>
    <row r="269" spans="1:6">
      <c r="A269" s="224"/>
      <c r="B269" s="224"/>
      <c r="C269" s="224"/>
      <c r="D269" s="224"/>
      <c r="E269" s="224"/>
      <c r="F269" s="224"/>
    </row>
    <row r="270" spans="1:6">
      <c r="A270" s="224"/>
      <c r="B270" s="224"/>
      <c r="C270" s="224"/>
      <c r="D270" s="224"/>
      <c r="E270" s="224"/>
      <c r="F270" s="224"/>
    </row>
    <row r="271" spans="1:6">
      <c r="A271" s="224"/>
      <c r="B271" s="224"/>
      <c r="C271" s="224"/>
      <c r="D271" s="224"/>
      <c r="E271" s="224"/>
      <c r="F271" s="224"/>
    </row>
    <row r="272" spans="1:6">
      <c r="A272" s="224"/>
      <c r="B272" s="224"/>
      <c r="C272" s="224"/>
      <c r="D272" s="224"/>
      <c r="E272" s="224"/>
      <c r="F272" s="224"/>
    </row>
    <row r="273" spans="1:6">
      <c r="A273" s="224"/>
      <c r="B273" s="224"/>
      <c r="C273" s="224"/>
      <c r="D273" s="224"/>
      <c r="E273" s="224"/>
      <c r="F273" s="224"/>
    </row>
    <row r="274" spans="1:6">
      <c r="A274" s="224"/>
      <c r="B274" s="224"/>
      <c r="C274" s="224"/>
      <c r="D274" s="224"/>
      <c r="E274" s="224"/>
      <c r="F274" s="224"/>
    </row>
    <row r="275" spans="1:6">
      <c r="A275" s="224"/>
      <c r="B275" s="224"/>
      <c r="C275" s="224"/>
      <c r="D275" s="224"/>
      <c r="E275" s="224"/>
      <c r="F275" s="224"/>
    </row>
    <row r="276" spans="1:6">
      <c r="A276" s="224"/>
      <c r="B276" s="224"/>
      <c r="C276" s="224"/>
      <c r="D276" s="224"/>
      <c r="E276" s="224"/>
      <c r="F276" s="224"/>
    </row>
    <row r="277" spans="1:6">
      <c r="A277" s="224"/>
      <c r="B277" s="224"/>
      <c r="C277" s="224"/>
      <c r="D277" s="224"/>
      <c r="E277" s="224"/>
      <c r="F277" s="224"/>
    </row>
    <row r="278" spans="1:6">
      <c r="A278" s="224"/>
      <c r="B278" s="224"/>
      <c r="C278" s="224"/>
      <c r="D278" s="224"/>
      <c r="E278" s="224"/>
      <c r="F278" s="224"/>
    </row>
    <row r="279" spans="1:6">
      <c r="A279" s="224"/>
      <c r="B279" s="224"/>
      <c r="C279" s="224"/>
      <c r="D279" s="224"/>
      <c r="E279" s="224"/>
      <c r="F279" s="224"/>
    </row>
    <row r="280" spans="1:6">
      <c r="A280" s="224"/>
      <c r="B280" s="224"/>
      <c r="C280" s="224"/>
      <c r="D280" s="224"/>
      <c r="E280" s="224"/>
      <c r="F280" s="224"/>
    </row>
    <row r="281" spans="1:6">
      <c r="A281" s="224"/>
      <c r="B281" s="224"/>
      <c r="C281" s="224"/>
      <c r="D281" s="224"/>
      <c r="E281" s="224"/>
      <c r="F281" s="224"/>
    </row>
    <row r="282" spans="1:6">
      <c r="A282" s="224"/>
      <c r="B282" s="224"/>
      <c r="C282" s="224"/>
      <c r="D282" s="224"/>
      <c r="E282" s="224"/>
      <c r="F282" s="224"/>
    </row>
    <row r="283" spans="1:6">
      <c r="A283" s="224"/>
      <c r="B283" s="224"/>
      <c r="C283" s="224"/>
      <c r="D283" s="224"/>
      <c r="E283" s="224"/>
      <c r="F283" s="224"/>
    </row>
    <row r="284" spans="1:6">
      <c r="A284" s="224"/>
      <c r="B284" s="224"/>
      <c r="C284" s="224"/>
      <c r="D284" s="224"/>
      <c r="E284" s="224"/>
      <c r="F284" s="224"/>
    </row>
    <row r="285" spans="1:6">
      <c r="A285" s="224"/>
      <c r="B285" s="224"/>
      <c r="C285" s="224"/>
      <c r="D285" s="224"/>
      <c r="E285" s="224"/>
      <c r="F285" s="224"/>
    </row>
    <row r="286" spans="1:6">
      <c r="A286" s="224"/>
      <c r="B286" s="224"/>
      <c r="C286" s="224"/>
      <c r="D286" s="224"/>
      <c r="E286" s="224"/>
      <c r="F286" s="224"/>
    </row>
    <row r="287" spans="1:6">
      <c r="A287" s="224"/>
      <c r="B287" s="224"/>
      <c r="C287" s="224"/>
      <c r="D287" s="224"/>
      <c r="E287" s="224"/>
      <c r="F287" s="224"/>
    </row>
    <row r="288" spans="1:6">
      <c r="A288" s="224"/>
      <c r="B288" s="224"/>
      <c r="C288" s="224"/>
      <c r="D288" s="224"/>
      <c r="E288" s="224"/>
      <c r="F288" s="224"/>
    </row>
    <row r="289" spans="1:6">
      <c r="A289" s="224"/>
      <c r="B289" s="224"/>
      <c r="C289" s="224"/>
      <c r="D289" s="224"/>
      <c r="E289" s="224"/>
      <c r="F289" s="224"/>
    </row>
    <row r="290" spans="1:6">
      <c r="A290" s="224"/>
      <c r="B290" s="224"/>
      <c r="C290" s="224"/>
      <c r="D290" s="224"/>
      <c r="E290" s="224"/>
      <c r="F290" s="224"/>
    </row>
    <row r="291" spans="1:6">
      <c r="A291" s="224"/>
      <c r="B291" s="224"/>
      <c r="C291" s="224"/>
      <c r="D291" s="224"/>
      <c r="E291" s="224"/>
      <c r="F291" s="224"/>
    </row>
    <row r="292" spans="1:6">
      <c r="A292" s="224"/>
      <c r="B292" s="224"/>
      <c r="C292" s="224"/>
      <c r="D292" s="224"/>
      <c r="E292" s="224"/>
      <c r="F292" s="224"/>
    </row>
    <row r="293" spans="1:6">
      <c r="A293" s="224"/>
      <c r="B293" s="224"/>
      <c r="C293" s="224"/>
      <c r="D293" s="224"/>
      <c r="E293" s="224"/>
      <c r="F293" s="224"/>
    </row>
    <row r="294" spans="1:6">
      <c r="A294" s="224"/>
      <c r="B294" s="224"/>
      <c r="C294" s="224"/>
      <c r="D294" s="224"/>
      <c r="E294" s="224"/>
      <c r="F294" s="224"/>
    </row>
    <row r="295" spans="1:6">
      <c r="A295" s="224"/>
      <c r="B295" s="224"/>
      <c r="C295" s="224"/>
      <c r="D295" s="224"/>
      <c r="E295" s="224"/>
      <c r="F295" s="224"/>
    </row>
    <row r="296" spans="1:6">
      <c r="A296" s="224"/>
      <c r="B296" s="224"/>
      <c r="C296" s="224"/>
      <c r="D296" s="224"/>
      <c r="E296" s="224"/>
      <c r="F296" s="224"/>
    </row>
    <row r="297" spans="1:6">
      <c r="A297" s="224"/>
      <c r="B297" s="224"/>
      <c r="C297" s="224"/>
      <c r="D297" s="224"/>
      <c r="E297" s="224"/>
      <c r="F297" s="224"/>
    </row>
    <row r="298" spans="1:6">
      <c r="A298" s="224"/>
      <c r="B298" s="224"/>
      <c r="C298" s="224"/>
      <c r="D298" s="224"/>
      <c r="E298" s="224"/>
      <c r="F298" s="224"/>
    </row>
    <row r="299" spans="1:6">
      <c r="A299" s="224"/>
      <c r="B299" s="224"/>
      <c r="C299" s="224"/>
      <c r="D299" s="224"/>
      <c r="E299" s="224"/>
      <c r="F299" s="224"/>
    </row>
    <row r="300" spans="1:6">
      <c r="A300" s="224"/>
      <c r="B300" s="224"/>
      <c r="C300" s="224"/>
      <c r="D300" s="224"/>
      <c r="E300" s="224"/>
      <c r="F300" s="224"/>
    </row>
    <row r="301" spans="1:6">
      <c r="A301" s="224"/>
      <c r="B301" s="224"/>
      <c r="C301" s="224"/>
      <c r="D301" s="224"/>
      <c r="E301" s="224"/>
      <c r="F301" s="224"/>
    </row>
    <row r="302" spans="1:6">
      <c r="A302" s="224"/>
      <c r="B302" s="224"/>
      <c r="C302" s="224"/>
      <c r="D302" s="224"/>
      <c r="E302" s="224"/>
      <c r="F302" s="224"/>
    </row>
    <row r="303" spans="1:6">
      <c r="A303" s="224"/>
      <c r="B303" s="224"/>
      <c r="C303" s="224"/>
      <c r="D303" s="224"/>
      <c r="E303" s="224"/>
      <c r="F303" s="224"/>
    </row>
    <row r="304" spans="1:6">
      <c r="A304" s="224"/>
      <c r="B304" s="224"/>
      <c r="C304" s="224"/>
      <c r="D304" s="224"/>
      <c r="E304" s="224"/>
      <c r="F304" s="224"/>
    </row>
    <row r="305" spans="1:6">
      <c r="A305" s="224"/>
      <c r="B305" s="224"/>
      <c r="C305" s="224"/>
      <c r="D305" s="224"/>
      <c r="E305" s="224"/>
      <c r="F305" s="224"/>
    </row>
    <row r="306" spans="1:6">
      <c r="A306" s="224"/>
      <c r="B306" s="224"/>
      <c r="C306" s="224"/>
      <c r="D306" s="224"/>
      <c r="E306" s="224"/>
      <c r="F306" s="224"/>
    </row>
    <row r="307" spans="1:6">
      <c r="A307" s="224"/>
      <c r="B307" s="224"/>
      <c r="C307" s="224"/>
      <c r="D307" s="224"/>
      <c r="E307" s="224"/>
      <c r="F307" s="224"/>
    </row>
    <row r="308" spans="1:6">
      <c r="A308" s="224"/>
      <c r="B308" s="224"/>
      <c r="C308" s="224"/>
      <c r="D308" s="224"/>
      <c r="E308" s="224"/>
      <c r="F308" s="224"/>
    </row>
    <row r="309" spans="1:6">
      <c r="A309" s="224"/>
      <c r="B309" s="224"/>
      <c r="C309" s="224"/>
      <c r="D309" s="224"/>
      <c r="E309" s="224"/>
      <c r="F309" s="224"/>
    </row>
    <row r="310" spans="1:6">
      <c r="A310" s="224"/>
      <c r="B310" s="224"/>
      <c r="C310" s="224"/>
      <c r="D310" s="224"/>
      <c r="E310" s="224"/>
      <c r="F310" s="224"/>
    </row>
    <row r="311" spans="1:6">
      <c r="A311" s="224"/>
      <c r="B311" s="224"/>
      <c r="C311" s="224"/>
      <c r="D311" s="224"/>
      <c r="E311" s="224"/>
      <c r="F311" s="224"/>
    </row>
    <row r="312" spans="1:6">
      <c r="A312" s="224"/>
      <c r="B312" s="224"/>
      <c r="C312" s="224"/>
      <c r="D312" s="224"/>
      <c r="E312" s="224"/>
      <c r="F312" s="224"/>
    </row>
    <row r="313" spans="1:6">
      <c r="A313" s="224"/>
      <c r="B313" s="224"/>
      <c r="C313" s="224"/>
      <c r="D313" s="224"/>
      <c r="E313" s="224"/>
      <c r="F313" s="224"/>
    </row>
    <row r="314" spans="1:6">
      <c r="A314" s="224"/>
      <c r="B314" s="224"/>
      <c r="C314" s="224"/>
      <c r="D314" s="224"/>
      <c r="E314" s="224"/>
      <c r="F314" s="224"/>
    </row>
    <row r="315" spans="1:6">
      <c r="A315" s="224"/>
      <c r="B315" s="224"/>
      <c r="C315" s="224"/>
      <c r="D315" s="224"/>
      <c r="E315" s="224"/>
      <c r="F315" s="224"/>
    </row>
    <row r="316" spans="1:6">
      <c r="A316" s="224"/>
      <c r="B316" s="224"/>
      <c r="C316" s="224"/>
      <c r="D316" s="224"/>
      <c r="E316" s="224"/>
      <c r="F316" s="224"/>
    </row>
    <row r="317" spans="1:6">
      <c r="A317" s="224"/>
      <c r="B317" s="224"/>
      <c r="C317" s="224"/>
      <c r="D317" s="224"/>
      <c r="E317" s="224"/>
      <c r="F317" s="224"/>
    </row>
    <row r="318" spans="1:6">
      <c r="A318" s="224"/>
      <c r="B318" s="224"/>
      <c r="C318" s="224"/>
      <c r="D318" s="224"/>
      <c r="E318" s="224"/>
      <c r="F318" s="224"/>
    </row>
    <row r="319" spans="1:6">
      <c r="A319" s="224"/>
      <c r="B319" s="224"/>
      <c r="C319" s="224"/>
      <c r="D319" s="224"/>
      <c r="E319" s="224"/>
      <c r="F319" s="224"/>
    </row>
    <row r="320" spans="1:6">
      <c r="A320" s="224"/>
      <c r="B320" s="224"/>
      <c r="C320" s="224"/>
      <c r="D320" s="224"/>
      <c r="E320" s="224"/>
      <c r="F320" s="224"/>
    </row>
    <row r="321" spans="1:6">
      <c r="A321" s="224"/>
      <c r="B321" s="224"/>
      <c r="C321" s="224"/>
      <c r="D321" s="224"/>
      <c r="E321" s="224"/>
      <c r="F321" s="224"/>
    </row>
    <row r="322" spans="1:6">
      <c r="A322" s="224"/>
      <c r="B322" s="224"/>
      <c r="C322" s="224"/>
      <c r="D322" s="224"/>
      <c r="E322" s="224"/>
      <c r="F322" s="224"/>
    </row>
    <row r="323" spans="1:6">
      <c r="A323" s="224"/>
      <c r="B323" s="224"/>
      <c r="C323" s="224"/>
      <c r="D323" s="224"/>
      <c r="E323" s="224"/>
      <c r="F323" s="224"/>
    </row>
    <row r="324" spans="1:6">
      <c r="A324" s="224"/>
      <c r="B324" s="224"/>
      <c r="C324" s="224"/>
      <c r="D324" s="224"/>
      <c r="E324" s="224"/>
      <c r="F324" s="224"/>
    </row>
    <row r="325" spans="1:6">
      <c r="A325" s="224"/>
      <c r="B325" s="224"/>
      <c r="C325" s="224"/>
      <c r="D325" s="224"/>
      <c r="E325" s="224"/>
      <c r="F325" s="224"/>
    </row>
    <row r="326" spans="1:6">
      <c r="A326" s="224"/>
      <c r="B326" s="224"/>
      <c r="C326" s="224"/>
      <c r="D326" s="224"/>
      <c r="E326" s="224"/>
      <c r="F326" s="224"/>
    </row>
    <row r="327" spans="1:6">
      <c r="A327" s="224"/>
      <c r="B327" s="224"/>
      <c r="C327" s="224"/>
      <c r="D327" s="224"/>
      <c r="E327" s="224"/>
      <c r="F327" s="224"/>
    </row>
    <row r="328" spans="1:6">
      <c r="A328" s="224"/>
      <c r="B328" s="224"/>
      <c r="C328" s="224"/>
      <c r="D328" s="224"/>
      <c r="E328" s="224"/>
      <c r="F328" s="224"/>
    </row>
    <row r="329" spans="1:6">
      <c r="A329" s="224"/>
      <c r="B329" s="224"/>
      <c r="C329" s="224"/>
      <c r="D329" s="224"/>
      <c r="E329" s="224"/>
      <c r="F329" s="224"/>
    </row>
    <row r="330" spans="1:6">
      <c r="A330" s="224"/>
      <c r="B330" s="224"/>
      <c r="C330" s="224"/>
      <c r="D330" s="224"/>
      <c r="E330" s="224"/>
      <c r="F330" s="224"/>
    </row>
    <row r="331" spans="1:6">
      <c r="A331" s="224"/>
      <c r="B331" s="224"/>
      <c r="C331" s="224"/>
      <c r="D331" s="224"/>
      <c r="E331" s="224"/>
      <c r="F331" s="224"/>
    </row>
    <row r="332" spans="1:6">
      <c r="A332" s="224"/>
      <c r="B332" s="224"/>
      <c r="C332" s="224"/>
      <c r="D332" s="224"/>
      <c r="E332" s="224"/>
      <c r="F332" s="224"/>
    </row>
    <row r="333" spans="1:6">
      <c r="A333" s="224"/>
      <c r="B333" s="224"/>
      <c r="C333" s="224"/>
      <c r="D333" s="224"/>
      <c r="E333" s="224"/>
      <c r="F333" s="224"/>
    </row>
    <row r="334" spans="1:6">
      <c r="A334" s="224"/>
      <c r="B334" s="224"/>
      <c r="C334" s="224"/>
      <c r="D334" s="224"/>
      <c r="E334" s="224"/>
      <c r="F334" s="224"/>
    </row>
    <row r="335" spans="1:6">
      <c r="A335" s="224"/>
      <c r="B335" s="224"/>
      <c r="C335" s="224"/>
      <c r="D335" s="224"/>
      <c r="E335" s="224"/>
      <c r="F335" s="224"/>
    </row>
    <row r="336" spans="1:6">
      <c r="A336" s="224"/>
      <c r="B336" s="224"/>
      <c r="C336" s="224"/>
      <c r="D336" s="224"/>
      <c r="E336" s="224"/>
      <c r="F336" s="224"/>
    </row>
    <row r="337" spans="1:6">
      <c r="A337" s="224"/>
      <c r="B337" s="224"/>
      <c r="C337" s="224"/>
      <c r="D337" s="224"/>
      <c r="E337" s="224"/>
      <c r="F337" s="224"/>
    </row>
    <row r="338" spans="1:6">
      <c r="A338" s="224"/>
      <c r="B338" s="224"/>
      <c r="C338" s="224"/>
      <c r="D338" s="224"/>
      <c r="E338" s="224"/>
      <c r="F338" s="224"/>
    </row>
    <row r="339" spans="1:6">
      <c r="A339" s="224"/>
      <c r="B339" s="224"/>
      <c r="C339" s="224"/>
      <c r="D339" s="224"/>
      <c r="E339" s="224"/>
      <c r="F339" s="224"/>
    </row>
    <row r="340" spans="1:6">
      <c r="A340" s="224"/>
      <c r="B340" s="224"/>
      <c r="C340" s="224"/>
      <c r="D340" s="224"/>
      <c r="E340" s="224"/>
      <c r="F340" s="224"/>
    </row>
    <row r="341" spans="1:6">
      <c r="A341" s="224"/>
      <c r="B341" s="224"/>
      <c r="C341" s="224"/>
      <c r="D341" s="224"/>
      <c r="E341" s="224"/>
      <c r="F341" s="224"/>
    </row>
    <row r="342" spans="1:6">
      <c r="A342" s="224"/>
      <c r="B342" s="224"/>
      <c r="C342" s="224"/>
      <c r="D342" s="224"/>
      <c r="E342" s="224"/>
      <c r="F342" s="224"/>
    </row>
    <row r="343" spans="1:6">
      <c r="A343" s="224"/>
      <c r="B343" s="224"/>
      <c r="C343" s="224"/>
      <c r="D343" s="224"/>
      <c r="E343" s="224"/>
      <c r="F343" s="224"/>
    </row>
    <row r="344" spans="1:6">
      <c r="A344" s="224"/>
      <c r="B344" s="224"/>
      <c r="C344" s="224"/>
      <c r="D344" s="224"/>
      <c r="E344" s="224"/>
      <c r="F344" s="224"/>
    </row>
    <row r="345" spans="1:6">
      <c r="A345" s="224"/>
      <c r="B345" s="224"/>
      <c r="C345" s="224"/>
      <c r="D345" s="224"/>
      <c r="E345" s="224"/>
      <c r="F345" s="224"/>
    </row>
    <row r="346" spans="1:6">
      <c r="A346" s="224"/>
      <c r="B346" s="224"/>
      <c r="C346" s="224"/>
      <c r="D346" s="224"/>
      <c r="E346" s="224"/>
      <c r="F346" s="224"/>
    </row>
    <row r="347" spans="1:6">
      <c r="A347" s="224"/>
      <c r="B347" s="224"/>
      <c r="C347" s="224"/>
      <c r="D347" s="224"/>
      <c r="E347" s="224"/>
      <c r="F347" s="224"/>
    </row>
    <row r="348" spans="1:6">
      <c r="A348" s="224"/>
      <c r="B348" s="224"/>
      <c r="C348" s="224"/>
      <c r="D348" s="224"/>
      <c r="E348" s="224"/>
      <c r="F348" s="224"/>
    </row>
    <row r="349" spans="1:6">
      <c r="A349" s="224"/>
      <c r="B349" s="224"/>
      <c r="C349" s="224"/>
      <c r="D349" s="224"/>
      <c r="E349" s="224"/>
      <c r="F349" s="224"/>
    </row>
    <row r="350" spans="1:6">
      <c r="A350" s="224"/>
      <c r="B350" s="224"/>
      <c r="C350" s="224"/>
      <c r="D350" s="224"/>
      <c r="E350" s="224"/>
      <c r="F350" s="224"/>
    </row>
    <row r="351" spans="1:6">
      <c r="A351" s="224"/>
      <c r="B351" s="224"/>
      <c r="C351" s="224"/>
      <c r="D351" s="224"/>
      <c r="E351" s="224"/>
      <c r="F351" s="224"/>
    </row>
    <row r="352" spans="1:6">
      <c r="A352" s="224"/>
      <c r="B352" s="224"/>
      <c r="C352" s="224"/>
      <c r="D352" s="224"/>
      <c r="E352" s="224"/>
      <c r="F352" s="224"/>
    </row>
    <row r="353" spans="1:6">
      <c r="A353" s="224"/>
      <c r="B353" s="224"/>
      <c r="C353" s="224"/>
      <c r="D353" s="224"/>
      <c r="E353" s="224"/>
      <c r="F353" s="224"/>
    </row>
    <row r="354" spans="1:6">
      <c r="A354" s="224"/>
      <c r="B354" s="224"/>
      <c r="C354" s="224"/>
      <c r="D354" s="224"/>
      <c r="E354" s="224"/>
      <c r="F354" s="224"/>
    </row>
    <row r="355" spans="1:6">
      <c r="A355" s="224"/>
      <c r="B355" s="224"/>
      <c r="C355" s="224"/>
      <c r="D355" s="224"/>
      <c r="E355" s="224"/>
      <c r="F355" s="224"/>
    </row>
    <row r="356" spans="1:6">
      <c r="A356" s="224"/>
      <c r="B356" s="224"/>
      <c r="C356" s="224"/>
      <c r="D356" s="224"/>
      <c r="E356" s="224"/>
      <c r="F356" s="224"/>
    </row>
    <row r="357" spans="1:6">
      <c r="A357" s="224"/>
      <c r="B357" s="224"/>
      <c r="C357" s="224"/>
      <c r="D357" s="224"/>
      <c r="E357" s="224"/>
      <c r="F357" s="224"/>
    </row>
    <row r="358" spans="1:6">
      <c r="A358" s="224"/>
      <c r="B358" s="224"/>
      <c r="C358" s="224"/>
      <c r="D358" s="224"/>
      <c r="E358" s="224"/>
      <c r="F358" s="224"/>
    </row>
    <row r="359" spans="1:6">
      <c r="A359" s="224"/>
      <c r="B359" s="224"/>
      <c r="C359" s="224"/>
      <c r="D359" s="224"/>
      <c r="E359" s="224"/>
      <c r="F359" s="224"/>
    </row>
    <row r="360" spans="1:6">
      <c r="A360" s="224"/>
      <c r="B360" s="224"/>
      <c r="C360" s="224"/>
      <c r="D360" s="224"/>
      <c r="E360" s="224"/>
      <c r="F360" s="224"/>
    </row>
    <row r="361" spans="1:6">
      <c r="A361" s="224"/>
      <c r="B361" s="224"/>
      <c r="C361" s="224"/>
      <c r="D361" s="224"/>
      <c r="E361" s="224"/>
      <c r="F361" s="224"/>
    </row>
    <row r="362" spans="1:6">
      <c r="A362" s="224"/>
      <c r="B362" s="224"/>
      <c r="C362" s="224"/>
      <c r="D362" s="224"/>
      <c r="E362" s="224"/>
      <c r="F362" s="224"/>
    </row>
    <row r="363" spans="1:6">
      <c r="A363" s="224"/>
      <c r="B363" s="224"/>
      <c r="C363" s="224"/>
      <c r="D363" s="224"/>
      <c r="E363" s="224"/>
      <c r="F363" s="224"/>
    </row>
    <row r="364" spans="1:6">
      <c r="A364" s="224"/>
      <c r="B364" s="224"/>
      <c r="C364" s="224"/>
      <c r="D364" s="224"/>
      <c r="E364" s="224"/>
      <c r="F364" s="224"/>
    </row>
    <row r="365" spans="1:6">
      <c r="A365" s="224"/>
      <c r="B365" s="224"/>
      <c r="C365" s="224"/>
      <c r="D365" s="224"/>
      <c r="E365" s="224"/>
      <c r="F365" s="224"/>
    </row>
    <row r="366" spans="1:6">
      <c r="A366" s="224"/>
      <c r="B366" s="224"/>
      <c r="C366" s="224"/>
      <c r="D366" s="224"/>
      <c r="E366" s="224"/>
      <c r="F366" s="224"/>
    </row>
    <row r="367" spans="1:6">
      <c r="A367" s="224"/>
      <c r="B367" s="224"/>
      <c r="C367" s="224"/>
      <c r="D367" s="224"/>
      <c r="E367" s="224"/>
      <c r="F367" s="224"/>
    </row>
    <row r="368" spans="1:6">
      <c r="A368" s="224"/>
      <c r="B368" s="224"/>
      <c r="C368" s="224"/>
      <c r="D368" s="224"/>
      <c r="E368" s="224"/>
      <c r="F368" s="224"/>
    </row>
    <row r="369" spans="1:6">
      <c r="A369" s="224"/>
      <c r="B369" s="224"/>
      <c r="C369" s="224"/>
      <c r="D369" s="224"/>
      <c r="E369" s="224"/>
      <c r="F369" s="224"/>
    </row>
    <row r="370" spans="1:6">
      <c r="A370" s="224"/>
      <c r="B370" s="224"/>
      <c r="C370" s="224"/>
      <c r="D370" s="224"/>
      <c r="E370" s="224"/>
      <c r="F370" s="224"/>
    </row>
    <row r="371" spans="1:6">
      <c r="A371" s="224"/>
      <c r="B371" s="224"/>
      <c r="C371" s="224"/>
      <c r="D371" s="224"/>
      <c r="E371" s="224"/>
      <c r="F371" s="224"/>
    </row>
    <row r="372" spans="1:6">
      <c r="A372" s="224"/>
      <c r="B372" s="224"/>
      <c r="C372" s="224"/>
      <c r="D372" s="224"/>
      <c r="E372" s="224"/>
      <c r="F372" s="224"/>
    </row>
    <row r="373" spans="1:6">
      <c r="A373" s="224"/>
      <c r="B373" s="224"/>
      <c r="C373" s="224"/>
      <c r="D373" s="224"/>
      <c r="E373" s="224"/>
      <c r="F373" s="224"/>
    </row>
    <row r="374" spans="1:6">
      <c r="A374" s="224"/>
      <c r="B374" s="224"/>
      <c r="C374" s="224"/>
      <c r="D374" s="224"/>
      <c r="E374" s="224"/>
      <c r="F374" s="224"/>
    </row>
    <row r="375" spans="1:6">
      <c r="A375" s="224"/>
      <c r="B375" s="224"/>
      <c r="C375" s="224"/>
      <c r="D375" s="224"/>
      <c r="E375" s="224"/>
      <c r="F375" s="224"/>
    </row>
    <row r="376" spans="1:6">
      <c r="A376" s="224"/>
      <c r="B376" s="224"/>
      <c r="C376" s="224"/>
      <c r="D376" s="224"/>
      <c r="E376" s="224"/>
      <c r="F376" s="224"/>
    </row>
    <row r="377" spans="1:6">
      <c r="A377" s="224"/>
      <c r="B377" s="224"/>
      <c r="C377" s="224"/>
      <c r="D377" s="224"/>
      <c r="E377" s="224"/>
      <c r="F377" s="224"/>
    </row>
    <row r="378" spans="1:6">
      <c r="A378" s="224"/>
      <c r="B378" s="224"/>
      <c r="C378" s="224"/>
      <c r="D378" s="224"/>
      <c r="E378" s="224"/>
      <c r="F378" s="224"/>
    </row>
    <row r="379" spans="1:6">
      <c r="A379" s="224"/>
      <c r="B379" s="224"/>
      <c r="C379" s="224"/>
      <c r="D379" s="224"/>
      <c r="E379" s="224"/>
      <c r="F379" s="224"/>
    </row>
    <row r="380" spans="1:6">
      <c r="A380" s="224"/>
      <c r="B380" s="224"/>
      <c r="C380" s="224"/>
      <c r="D380" s="224"/>
      <c r="E380" s="224"/>
      <c r="F380" s="224"/>
    </row>
    <row r="381" spans="1:6">
      <c r="A381" s="224"/>
      <c r="B381" s="224"/>
      <c r="C381" s="224"/>
      <c r="D381" s="224"/>
      <c r="E381" s="224"/>
      <c r="F381" s="224"/>
    </row>
    <row r="382" spans="1:6">
      <c r="A382" s="224"/>
      <c r="B382" s="224"/>
      <c r="C382" s="224"/>
      <c r="D382" s="224"/>
      <c r="E382" s="224"/>
      <c r="F382" s="224"/>
    </row>
    <row r="383" spans="1:6">
      <c r="A383" s="224"/>
      <c r="B383" s="224"/>
      <c r="C383" s="224"/>
      <c r="D383" s="224"/>
      <c r="E383" s="224"/>
      <c r="F383" s="224"/>
    </row>
    <row r="384" spans="1:6">
      <c r="A384" s="224"/>
      <c r="B384" s="224"/>
      <c r="C384" s="224"/>
      <c r="D384" s="224"/>
      <c r="E384" s="224"/>
      <c r="F384" s="224"/>
    </row>
    <row r="385" spans="1:6">
      <c r="A385" s="224"/>
      <c r="B385" s="224"/>
      <c r="C385" s="224"/>
      <c r="D385" s="224"/>
      <c r="E385" s="224"/>
      <c r="F385" s="224"/>
    </row>
    <row r="386" spans="1:6">
      <c r="A386" s="224"/>
      <c r="B386" s="224"/>
      <c r="C386" s="224"/>
      <c r="D386" s="224"/>
      <c r="E386" s="224"/>
      <c r="F386" s="224"/>
    </row>
    <row r="387" spans="1:6">
      <c r="A387" s="224"/>
      <c r="B387" s="224"/>
      <c r="C387" s="224"/>
      <c r="D387" s="224"/>
      <c r="E387" s="224"/>
      <c r="F387" s="224"/>
    </row>
    <row r="388" spans="1:6">
      <c r="A388" s="224"/>
      <c r="B388" s="224"/>
      <c r="C388" s="224"/>
      <c r="D388" s="224"/>
      <c r="E388" s="224"/>
      <c r="F388" s="224"/>
    </row>
    <row r="389" spans="1:6">
      <c r="A389" s="224"/>
      <c r="B389" s="224"/>
      <c r="C389" s="224"/>
      <c r="D389" s="224"/>
      <c r="E389" s="224"/>
      <c r="F389" s="224"/>
    </row>
    <row r="390" spans="1:6">
      <c r="A390" s="224"/>
      <c r="B390" s="224"/>
      <c r="C390" s="224"/>
      <c r="D390" s="224"/>
      <c r="E390" s="224"/>
      <c r="F390" s="224"/>
    </row>
    <row r="391" spans="1:6">
      <c r="A391" s="224"/>
      <c r="B391" s="224"/>
      <c r="C391" s="224"/>
      <c r="D391" s="224"/>
      <c r="E391" s="224"/>
      <c r="F391" s="224"/>
    </row>
    <row r="392" spans="1:6">
      <c r="A392" s="224"/>
      <c r="B392" s="224"/>
      <c r="C392" s="224"/>
      <c r="D392" s="224"/>
      <c r="E392" s="224"/>
      <c r="F392" s="224"/>
    </row>
    <row r="393" spans="1:6">
      <c r="A393" s="224"/>
      <c r="B393" s="224"/>
      <c r="C393" s="224"/>
      <c r="D393" s="224"/>
      <c r="E393" s="224"/>
      <c r="F393" s="224"/>
    </row>
    <row r="394" spans="1:6">
      <c r="A394" s="224"/>
      <c r="B394" s="224"/>
      <c r="C394" s="224"/>
      <c r="D394" s="224"/>
      <c r="E394" s="224"/>
      <c r="F394" s="224"/>
    </row>
    <row r="395" spans="1:6">
      <c r="A395" s="224"/>
      <c r="B395" s="224"/>
      <c r="C395" s="224"/>
      <c r="D395" s="224"/>
      <c r="E395" s="224"/>
      <c r="F395" s="224"/>
    </row>
    <row r="396" spans="1:6">
      <c r="A396" s="224"/>
      <c r="B396" s="224"/>
      <c r="C396" s="224"/>
      <c r="D396" s="224"/>
      <c r="E396" s="224"/>
      <c r="F396" s="224"/>
    </row>
    <row r="397" spans="1:6">
      <c r="A397" s="224"/>
      <c r="B397" s="224"/>
      <c r="C397" s="224"/>
      <c r="D397" s="224"/>
      <c r="E397" s="224"/>
      <c r="F397" s="224"/>
    </row>
    <row r="398" spans="1:6">
      <c r="A398" s="224"/>
      <c r="B398" s="224"/>
      <c r="C398" s="224"/>
      <c r="D398" s="224"/>
      <c r="E398" s="224"/>
      <c r="F398" s="224"/>
    </row>
    <row r="399" spans="1:6">
      <c r="A399" s="224"/>
      <c r="B399" s="224"/>
      <c r="C399" s="224"/>
      <c r="D399" s="224"/>
      <c r="E399" s="224"/>
      <c r="F399" s="224"/>
    </row>
    <row r="400" spans="1:6">
      <c r="A400" s="224"/>
      <c r="B400" s="224"/>
      <c r="C400" s="224"/>
      <c r="D400" s="224"/>
      <c r="E400" s="224"/>
      <c r="F400" s="224"/>
    </row>
    <row r="401" spans="1:6">
      <c r="A401" s="224"/>
      <c r="B401" s="224"/>
      <c r="C401" s="224"/>
      <c r="D401" s="224"/>
      <c r="E401" s="224"/>
      <c r="F401" s="224"/>
    </row>
    <row r="402" spans="1:6">
      <c r="A402" s="224"/>
      <c r="B402" s="224"/>
      <c r="C402" s="224"/>
      <c r="D402" s="224"/>
      <c r="E402" s="224"/>
      <c r="F402" s="224"/>
    </row>
    <row r="403" spans="1:6">
      <c r="A403" s="224"/>
      <c r="B403" s="224"/>
      <c r="C403" s="224"/>
      <c r="D403" s="224"/>
      <c r="E403" s="224"/>
      <c r="F403" s="224"/>
    </row>
    <row r="404" spans="1:6">
      <c r="A404" s="224"/>
      <c r="B404" s="224"/>
      <c r="C404" s="224"/>
      <c r="D404" s="224"/>
      <c r="E404" s="224"/>
      <c r="F404" s="224"/>
    </row>
    <row r="405" spans="1:6">
      <c r="A405" s="224"/>
      <c r="B405" s="224"/>
      <c r="C405" s="224"/>
      <c r="D405" s="224"/>
      <c r="E405" s="224"/>
      <c r="F405" s="224"/>
    </row>
    <row r="406" spans="1:6">
      <c r="A406" s="224"/>
      <c r="B406" s="224"/>
      <c r="C406" s="224"/>
      <c r="D406" s="224"/>
      <c r="E406" s="224"/>
      <c r="F406" s="224"/>
    </row>
    <row r="407" spans="1:6">
      <c r="A407" s="224"/>
      <c r="B407" s="224"/>
      <c r="C407" s="224"/>
      <c r="D407" s="224"/>
      <c r="E407" s="224"/>
      <c r="F407" s="224"/>
    </row>
    <row r="408" spans="1:6">
      <c r="A408" s="224"/>
      <c r="B408" s="224"/>
      <c r="C408" s="224"/>
      <c r="D408" s="224"/>
      <c r="E408" s="224"/>
      <c r="F408" s="224"/>
    </row>
    <row r="409" spans="1:6">
      <c r="A409" s="224"/>
      <c r="B409" s="224"/>
      <c r="C409" s="224"/>
      <c r="D409" s="224"/>
      <c r="E409" s="224"/>
      <c r="F409" s="224"/>
    </row>
    <row r="410" spans="1:6">
      <c r="A410" s="224"/>
      <c r="B410" s="224"/>
      <c r="C410" s="224"/>
      <c r="D410" s="224"/>
      <c r="E410" s="224"/>
      <c r="F410" s="224"/>
    </row>
    <row r="411" spans="1:6">
      <c r="A411" s="224"/>
      <c r="B411" s="224"/>
      <c r="C411" s="224"/>
      <c r="D411" s="224"/>
      <c r="E411" s="224"/>
      <c r="F411" s="224"/>
    </row>
    <row r="412" spans="1:6">
      <c r="A412" s="224"/>
      <c r="B412" s="224"/>
      <c r="C412" s="224"/>
      <c r="D412" s="224"/>
      <c r="E412" s="224"/>
      <c r="F412" s="224"/>
    </row>
    <row r="413" spans="1:6">
      <c r="A413" s="224"/>
      <c r="B413" s="224"/>
      <c r="C413" s="224"/>
      <c r="D413" s="224"/>
      <c r="E413" s="224"/>
      <c r="F413" s="224"/>
    </row>
    <row r="414" spans="1:6">
      <c r="A414" s="224"/>
      <c r="B414" s="224"/>
      <c r="C414" s="224"/>
      <c r="D414" s="224"/>
      <c r="E414" s="224"/>
      <c r="F414" s="224"/>
    </row>
    <row r="415" spans="1:6">
      <c r="A415" s="224"/>
      <c r="B415" s="224"/>
      <c r="C415" s="224"/>
      <c r="D415" s="224"/>
      <c r="E415" s="224"/>
      <c r="F415" s="224"/>
    </row>
    <row r="416" spans="1:6">
      <c r="A416" s="224"/>
      <c r="B416" s="224"/>
      <c r="C416" s="224"/>
      <c r="D416" s="224"/>
      <c r="E416" s="224"/>
      <c r="F416" s="224"/>
    </row>
    <row r="417" spans="1:6">
      <c r="A417" s="224"/>
      <c r="B417" s="224"/>
      <c r="C417" s="224"/>
      <c r="D417" s="224"/>
      <c r="E417" s="224"/>
      <c r="F417" s="224"/>
    </row>
    <row r="418" spans="1:6">
      <c r="A418" s="224"/>
      <c r="B418" s="224"/>
      <c r="C418" s="224"/>
      <c r="D418" s="224"/>
      <c r="E418" s="224"/>
      <c r="F418" s="224"/>
    </row>
    <row r="419" spans="1:6">
      <c r="A419" s="224"/>
      <c r="B419" s="224"/>
      <c r="C419" s="224"/>
      <c r="D419" s="224"/>
      <c r="E419" s="224"/>
      <c r="F419" s="224"/>
    </row>
    <row r="420" spans="1:6">
      <c r="A420" s="224"/>
      <c r="B420" s="224"/>
      <c r="C420" s="224"/>
      <c r="D420" s="224"/>
      <c r="E420" s="224"/>
      <c r="F420" s="224"/>
    </row>
    <row r="421" spans="1:6">
      <c r="A421" s="224"/>
      <c r="B421" s="224"/>
      <c r="C421" s="224"/>
      <c r="D421" s="224"/>
      <c r="E421" s="224"/>
      <c r="F421" s="224"/>
    </row>
    <row r="422" spans="1:6">
      <c r="A422" s="224"/>
      <c r="B422" s="224"/>
      <c r="C422" s="224"/>
      <c r="D422" s="224"/>
      <c r="E422" s="224"/>
      <c r="F422" s="224"/>
    </row>
    <row r="423" spans="1:6">
      <c r="A423" s="224"/>
      <c r="B423" s="224"/>
      <c r="C423" s="224"/>
      <c r="D423" s="224"/>
      <c r="E423" s="224"/>
      <c r="F423" s="224"/>
    </row>
    <row r="424" spans="1:6">
      <c r="A424" s="224"/>
      <c r="B424" s="224"/>
      <c r="C424" s="224"/>
      <c r="D424" s="224"/>
      <c r="E424" s="224"/>
      <c r="F424" s="224"/>
    </row>
    <row r="425" spans="1:6">
      <c r="A425" s="224"/>
      <c r="B425" s="224"/>
      <c r="C425" s="224"/>
      <c r="D425" s="224"/>
      <c r="E425" s="224"/>
      <c r="F425" s="224"/>
    </row>
    <row r="426" spans="1:6">
      <c r="A426" s="224"/>
      <c r="B426" s="224"/>
      <c r="C426" s="224"/>
      <c r="D426" s="224"/>
      <c r="E426" s="224"/>
      <c r="F426" s="224"/>
    </row>
    <row r="427" spans="1:6">
      <c r="A427" s="224"/>
      <c r="B427" s="224"/>
      <c r="C427" s="224"/>
      <c r="D427" s="224"/>
      <c r="E427" s="224"/>
      <c r="F427" s="224"/>
    </row>
    <row r="428" spans="1:6">
      <c r="A428" s="224"/>
      <c r="B428" s="224"/>
      <c r="C428" s="224"/>
      <c r="D428" s="224"/>
      <c r="E428" s="224"/>
      <c r="F428" s="224"/>
    </row>
    <row r="429" spans="1:6">
      <c r="A429" s="224"/>
      <c r="B429" s="224"/>
      <c r="C429" s="224"/>
      <c r="D429" s="224"/>
      <c r="E429" s="224"/>
      <c r="F429" s="224"/>
    </row>
    <row r="430" spans="1:6">
      <c r="A430" s="224"/>
      <c r="B430" s="224"/>
      <c r="C430" s="224"/>
      <c r="D430" s="224"/>
      <c r="E430" s="224"/>
      <c r="F430" s="224"/>
    </row>
    <row r="431" spans="1:6">
      <c r="A431" s="224"/>
      <c r="B431" s="224"/>
      <c r="C431" s="224"/>
      <c r="D431" s="224"/>
      <c r="E431" s="224"/>
      <c r="F431" s="224"/>
    </row>
    <row r="432" spans="1:6">
      <c r="A432" s="224"/>
      <c r="B432" s="224"/>
      <c r="C432" s="224"/>
      <c r="D432" s="224"/>
      <c r="E432" s="224"/>
      <c r="F432" s="224"/>
    </row>
    <row r="433" spans="1:6">
      <c r="A433" s="224"/>
      <c r="B433" s="224"/>
      <c r="C433" s="224"/>
      <c r="D433" s="224"/>
      <c r="E433" s="224"/>
      <c r="F433" s="224"/>
    </row>
    <row r="434" spans="1:6">
      <c r="A434" s="224"/>
      <c r="B434" s="224"/>
      <c r="C434" s="224"/>
      <c r="D434" s="224"/>
      <c r="E434" s="224"/>
      <c r="F434" s="224"/>
    </row>
    <row r="435" spans="1:6">
      <c r="A435" s="224"/>
      <c r="B435" s="224"/>
      <c r="C435" s="224"/>
      <c r="D435" s="224"/>
      <c r="E435" s="224"/>
      <c r="F435" s="224"/>
    </row>
    <row r="436" spans="1:6">
      <c r="A436" s="224"/>
      <c r="B436" s="224"/>
      <c r="C436" s="224"/>
      <c r="D436" s="224"/>
      <c r="E436" s="224"/>
      <c r="F436" s="224"/>
    </row>
    <row r="437" spans="1:6">
      <c r="A437" s="224"/>
      <c r="B437" s="224"/>
      <c r="C437" s="224"/>
      <c r="D437" s="224"/>
      <c r="E437" s="224"/>
      <c r="F437" s="224"/>
    </row>
    <row r="438" spans="1:6">
      <c r="A438" s="224"/>
      <c r="B438" s="224"/>
      <c r="C438" s="224"/>
      <c r="D438" s="224"/>
      <c r="E438" s="224"/>
      <c r="F438" s="224"/>
    </row>
    <row r="439" spans="1:6">
      <c r="A439" s="224"/>
      <c r="B439" s="224"/>
      <c r="C439" s="224"/>
      <c r="D439" s="224"/>
      <c r="E439" s="224"/>
      <c r="F439" s="224"/>
    </row>
    <row r="440" spans="1:6">
      <c r="A440" s="224"/>
      <c r="B440" s="224"/>
      <c r="C440" s="224"/>
      <c r="D440" s="224"/>
      <c r="E440" s="224"/>
      <c r="F440" s="224"/>
    </row>
    <row r="441" spans="1:6">
      <c r="A441" s="224"/>
      <c r="B441" s="224"/>
      <c r="C441" s="224"/>
      <c r="D441" s="224"/>
      <c r="E441" s="224"/>
      <c r="F441" s="224"/>
    </row>
    <row r="442" spans="1:6">
      <c r="A442" s="224"/>
      <c r="B442" s="224"/>
      <c r="C442" s="224"/>
      <c r="D442" s="224"/>
      <c r="E442" s="224"/>
      <c r="F442" s="224"/>
    </row>
    <row r="443" spans="1:6">
      <c r="A443" s="224"/>
      <c r="B443" s="224"/>
      <c r="C443" s="224"/>
      <c r="D443" s="224"/>
      <c r="E443" s="224"/>
      <c r="F443" s="224"/>
    </row>
    <row r="444" spans="1:6">
      <c r="A444" s="224"/>
      <c r="B444" s="224"/>
      <c r="C444" s="224"/>
      <c r="D444" s="224"/>
      <c r="E444" s="224"/>
      <c r="F444" s="224"/>
    </row>
    <row r="445" spans="1:6">
      <c r="A445" s="224"/>
      <c r="B445" s="224"/>
      <c r="C445" s="224"/>
      <c r="D445" s="224"/>
      <c r="E445" s="224"/>
      <c r="F445" s="224"/>
    </row>
    <row r="446" spans="1:6">
      <c r="A446" s="224"/>
      <c r="B446" s="224"/>
      <c r="C446" s="224"/>
      <c r="D446" s="224"/>
      <c r="E446" s="224"/>
      <c r="F446" s="224"/>
    </row>
    <row r="447" spans="1:6">
      <c r="A447" s="224"/>
      <c r="B447" s="224"/>
      <c r="C447" s="224"/>
      <c r="D447" s="224"/>
      <c r="E447" s="224"/>
      <c r="F447" s="224"/>
    </row>
    <row r="448" spans="1:6">
      <c r="A448" s="224"/>
      <c r="B448" s="224"/>
      <c r="C448" s="224"/>
      <c r="D448" s="224"/>
      <c r="E448" s="224"/>
      <c r="F448" s="224"/>
    </row>
    <row r="449" spans="1:6">
      <c r="A449" s="224"/>
      <c r="B449" s="224"/>
      <c r="C449" s="224"/>
      <c r="D449" s="224"/>
      <c r="E449" s="224"/>
      <c r="F449" s="224"/>
    </row>
    <row r="450" spans="1:6">
      <c r="A450" s="224"/>
      <c r="B450" s="224"/>
      <c r="C450" s="224"/>
      <c r="D450" s="224"/>
      <c r="E450" s="224"/>
      <c r="F450" s="224"/>
    </row>
    <row r="451" spans="1:6">
      <c r="A451" s="224"/>
      <c r="B451" s="224"/>
      <c r="C451" s="224"/>
      <c r="D451" s="224"/>
      <c r="E451" s="224"/>
      <c r="F451" s="224"/>
    </row>
    <row r="452" spans="1:6">
      <c r="A452" s="224"/>
      <c r="B452" s="224"/>
      <c r="C452" s="224"/>
      <c r="D452" s="224"/>
      <c r="E452" s="224"/>
      <c r="F452" s="224"/>
    </row>
    <row r="453" spans="1:6">
      <c r="A453" s="224"/>
      <c r="B453" s="224"/>
      <c r="C453" s="224"/>
      <c r="D453" s="224"/>
      <c r="E453" s="224"/>
      <c r="F453" s="224"/>
    </row>
    <row r="454" spans="1:6">
      <c r="A454" s="224"/>
      <c r="B454" s="224"/>
      <c r="C454" s="224"/>
      <c r="D454" s="224"/>
      <c r="E454" s="224"/>
      <c r="F454" s="224"/>
    </row>
    <row r="455" spans="1:6">
      <c r="A455" s="224"/>
      <c r="B455" s="224"/>
      <c r="C455" s="224"/>
      <c r="D455" s="224"/>
      <c r="E455" s="224"/>
      <c r="F455" s="224"/>
    </row>
    <row r="456" spans="1:6">
      <c r="A456" s="224"/>
      <c r="B456" s="224"/>
      <c r="C456" s="224"/>
      <c r="D456" s="224"/>
      <c r="E456" s="224"/>
      <c r="F456" s="224"/>
    </row>
    <row r="457" spans="1:6">
      <c r="A457" s="224"/>
      <c r="B457" s="224"/>
      <c r="C457" s="224"/>
      <c r="D457" s="224"/>
      <c r="E457" s="224"/>
      <c r="F457" s="224"/>
    </row>
    <row r="458" spans="1:6">
      <c r="A458" s="224"/>
      <c r="B458" s="224"/>
      <c r="C458" s="224"/>
      <c r="D458" s="224"/>
      <c r="E458" s="224"/>
      <c r="F458" s="224"/>
    </row>
    <row r="459" spans="1:6">
      <c r="A459" s="224"/>
      <c r="B459" s="224"/>
      <c r="C459" s="224"/>
      <c r="D459" s="224"/>
      <c r="E459" s="224"/>
      <c r="F459" s="224"/>
    </row>
    <row r="460" spans="1:6">
      <c r="A460" s="224"/>
      <c r="B460" s="224"/>
      <c r="C460" s="224"/>
      <c r="D460" s="224"/>
      <c r="E460" s="224"/>
      <c r="F460" s="224"/>
    </row>
    <row r="461" spans="1:6">
      <c r="A461" s="224"/>
      <c r="B461" s="224"/>
      <c r="C461" s="224"/>
      <c r="D461" s="224"/>
      <c r="E461" s="224"/>
      <c r="F461" s="224"/>
    </row>
    <row r="462" spans="1:6">
      <c r="A462" s="224"/>
      <c r="B462" s="224"/>
      <c r="C462" s="224"/>
      <c r="D462" s="224"/>
      <c r="E462" s="224"/>
      <c r="F462" s="224"/>
    </row>
    <row r="463" spans="1:6">
      <c r="A463" s="224"/>
      <c r="B463" s="224"/>
      <c r="C463" s="224"/>
      <c r="D463" s="224"/>
      <c r="E463" s="224"/>
      <c r="F463" s="224"/>
    </row>
    <row r="464" spans="1:6">
      <c r="A464" s="224"/>
      <c r="B464" s="224"/>
      <c r="C464" s="224"/>
      <c r="D464" s="224"/>
      <c r="E464" s="224"/>
      <c r="F464" s="224"/>
    </row>
    <row r="465" spans="1:6">
      <c r="A465" s="224"/>
      <c r="B465" s="224"/>
      <c r="C465" s="224"/>
      <c r="D465" s="224"/>
      <c r="E465" s="224"/>
      <c r="F465" s="224"/>
    </row>
    <row r="466" spans="1:6">
      <c r="A466" s="224"/>
      <c r="B466" s="224"/>
      <c r="C466" s="224"/>
      <c r="D466" s="224"/>
      <c r="E466" s="224"/>
      <c r="F466" s="224"/>
    </row>
    <row r="467" spans="1:6">
      <c r="A467" s="224"/>
      <c r="B467" s="224"/>
      <c r="C467" s="224"/>
      <c r="D467" s="224"/>
      <c r="E467" s="224"/>
      <c r="F467" s="224"/>
    </row>
    <row r="468" spans="1:6">
      <c r="A468" s="224"/>
      <c r="B468" s="224"/>
      <c r="C468" s="224"/>
      <c r="D468" s="224"/>
      <c r="E468" s="224"/>
      <c r="F468" s="224"/>
    </row>
    <row r="469" spans="1:6">
      <c r="A469" s="224"/>
      <c r="B469" s="224"/>
      <c r="C469" s="224"/>
      <c r="D469" s="224"/>
      <c r="E469" s="224"/>
      <c r="F469" s="224"/>
    </row>
    <row r="470" spans="1:6">
      <c r="A470" s="224"/>
      <c r="B470" s="224"/>
      <c r="C470" s="224"/>
      <c r="D470" s="224"/>
      <c r="E470" s="224"/>
      <c r="F470" s="224"/>
    </row>
    <row r="471" spans="1:6">
      <c r="A471" s="224"/>
      <c r="B471" s="224"/>
      <c r="C471" s="224"/>
      <c r="D471" s="224"/>
      <c r="E471" s="224"/>
      <c r="F471" s="224"/>
    </row>
    <row r="472" spans="1:6">
      <c r="A472" s="224"/>
      <c r="B472" s="224"/>
      <c r="C472" s="224"/>
      <c r="D472" s="224"/>
      <c r="E472" s="224"/>
      <c r="F472" s="224"/>
    </row>
    <row r="473" spans="1:6">
      <c r="A473" s="224"/>
      <c r="B473" s="224"/>
      <c r="C473" s="224"/>
      <c r="D473" s="224"/>
      <c r="E473" s="224"/>
      <c r="F473" s="224"/>
    </row>
    <row r="474" spans="1:6">
      <c r="A474" s="224"/>
      <c r="B474" s="224"/>
      <c r="C474" s="224"/>
      <c r="D474" s="224"/>
      <c r="E474" s="224"/>
      <c r="F474" s="224"/>
    </row>
    <row r="475" spans="1:6">
      <c r="A475" s="224"/>
      <c r="B475" s="224"/>
      <c r="C475" s="224"/>
      <c r="D475" s="224"/>
      <c r="E475" s="224"/>
      <c r="F475" s="224"/>
    </row>
    <row r="476" spans="1:6">
      <c r="A476" s="224"/>
      <c r="B476" s="224"/>
      <c r="C476" s="224"/>
      <c r="D476" s="224"/>
      <c r="E476" s="224"/>
      <c r="F476" s="224"/>
    </row>
    <row r="477" spans="1:6">
      <c r="A477" s="224"/>
      <c r="B477" s="224"/>
      <c r="C477" s="224"/>
      <c r="D477" s="224"/>
      <c r="E477" s="224"/>
      <c r="F477" s="224"/>
    </row>
    <row r="478" spans="1:6">
      <c r="A478" s="224"/>
      <c r="B478" s="224"/>
      <c r="C478" s="224"/>
      <c r="D478" s="224"/>
      <c r="E478" s="224"/>
      <c r="F478" s="224"/>
    </row>
    <row r="479" spans="1:6">
      <c r="A479" s="224"/>
      <c r="B479" s="224"/>
      <c r="C479" s="224"/>
      <c r="D479" s="224"/>
      <c r="E479" s="224"/>
      <c r="F479" s="224"/>
    </row>
    <row r="480" spans="1:6">
      <c r="A480" s="224"/>
      <c r="B480" s="224"/>
      <c r="C480" s="224"/>
      <c r="D480" s="224"/>
      <c r="E480" s="224"/>
      <c r="F480" s="224"/>
    </row>
    <row r="481" spans="1:6">
      <c r="A481" s="224"/>
      <c r="B481" s="224"/>
      <c r="C481" s="224"/>
      <c r="D481" s="224"/>
      <c r="E481" s="224"/>
      <c r="F481" s="224"/>
    </row>
    <row r="482" spans="1:6">
      <c r="A482" s="224"/>
      <c r="B482" s="224"/>
      <c r="C482" s="224"/>
      <c r="D482" s="224"/>
      <c r="E482" s="224"/>
      <c r="F482" s="224"/>
    </row>
    <row r="483" spans="1:6">
      <c r="A483" s="224"/>
      <c r="B483" s="224"/>
      <c r="C483" s="224"/>
      <c r="D483" s="224"/>
      <c r="E483" s="224"/>
      <c r="F483" s="224"/>
    </row>
    <row r="484" spans="1:6">
      <c r="A484" s="224"/>
      <c r="B484" s="224"/>
      <c r="C484" s="224"/>
      <c r="D484" s="224"/>
      <c r="E484" s="224"/>
      <c r="F484" s="224"/>
    </row>
    <row r="485" spans="1:6">
      <c r="A485" s="224"/>
      <c r="B485" s="224"/>
      <c r="C485" s="224"/>
      <c r="D485" s="224"/>
      <c r="E485" s="224"/>
      <c r="F485" s="224"/>
    </row>
    <row r="486" spans="1:6">
      <c r="A486" s="224"/>
      <c r="B486" s="224"/>
      <c r="C486" s="224"/>
      <c r="D486" s="224"/>
      <c r="E486" s="224"/>
      <c r="F486" s="224"/>
    </row>
    <row r="487" spans="1:6">
      <c r="A487" s="224"/>
      <c r="B487" s="224"/>
      <c r="C487" s="224"/>
      <c r="D487" s="224"/>
      <c r="E487" s="224"/>
      <c r="F487" s="224"/>
    </row>
    <row r="488" spans="1:6">
      <c r="A488" s="224"/>
      <c r="B488" s="224"/>
      <c r="C488" s="224"/>
      <c r="D488" s="224"/>
      <c r="E488" s="224"/>
      <c r="F488" s="224"/>
    </row>
    <row r="489" spans="1:6">
      <c r="A489" s="224"/>
      <c r="B489" s="224"/>
      <c r="C489" s="224"/>
      <c r="D489" s="224"/>
      <c r="E489" s="224"/>
      <c r="F489" s="224"/>
    </row>
    <row r="490" spans="1:6">
      <c r="A490" s="224"/>
      <c r="B490" s="224"/>
      <c r="C490" s="224"/>
      <c r="D490" s="224"/>
      <c r="E490" s="224"/>
      <c r="F490" s="224"/>
    </row>
    <row r="491" spans="1:6">
      <c r="A491" s="224"/>
      <c r="B491" s="224"/>
      <c r="C491" s="224"/>
      <c r="D491" s="224"/>
      <c r="E491" s="224"/>
      <c r="F491" s="224"/>
    </row>
    <row r="492" spans="1:6">
      <c r="A492" s="224"/>
      <c r="B492" s="224"/>
      <c r="C492" s="224"/>
      <c r="D492" s="224"/>
      <c r="E492" s="224"/>
      <c r="F492" s="224"/>
    </row>
    <row r="493" spans="1:6">
      <c r="A493" s="224"/>
      <c r="B493" s="224"/>
      <c r="C493" s="224"/>
      <c r="D493" s="224"/>
      <c r="E493" s="224"/>
      <c r="F493" s="224"/>
    </row>
    <row r="494" spans="1:6">
      <c r="A494" s="224"/>
      <c r="B494" s="224"/>
      <c r="C494" s="224"/>
      <c r="D494" s="224"/>
      <c r="E494" s="224"/>
      <c r="F494" s="224"/>
    </row>
    <row r="495" spans="1:6">
      <c r="A495" s="224"/>
      <c r="B495" s="224"/>
      <c r="C495" s="224"/>
      <c r="D495" s="224"/>
      <c r="E495" s="224"/>
      <c r="F495" s="224"/>
    </row>
    <row r="496" spans="1:6">
      <c r="A496" s="224"/>
      <c r="B496" s="224"/>
      <c r="C496" s="224"/>
      <c r="D496" s="224"/>
      <c r="E496" s="224"/>
      <c r="F496" s="224"/>
    </row>
    <row r="497" spans="1:6">
      <c r="A497" s="224"/>
      <c r="B497" s="224"/>
      <c r="C497" s="224"/>
      <c r="D497" s="224"/>
      <c r="E497" s="224"/>
      <c r="F497" s="224"/>
    </row>
    <row r="498" spans="1:6">
      <c r="A498" s="224"/>
      <c r="B498" s="224"/>
      <c r="C498" s="224"/>
      <c r="D498" s="224"/>
      <c r="E498" s="224"/>
      <c r="F498" s="224"/>
    </row>
    <row r="499" spans="1:6">
      <c r="A499" s="224"/>
      <c r="B499" s="224"/>
      <c r="C499" s="224"/>
      <c r="D499" s="224"/>
      <c r="E499" s="224"/>
      <c r="F499" s="224"/>
    </row>
    <row r="500" spans="1:6">
      <c r="A500" s="224"/>
      <c r="B500" s="224"/>
      <c r="C500" s="224"/>
      <c r="D500" s="224"/>
      <c r="E500" s="224"/>
      <c r="F500" s="224"/>
    </row>
    <row r="501" spans="1:6">
      <c r="A501" s="224"/>
      <c r="B501" s="224"/>
      <c r="C501" s="224"/>
      <c r="D501" s="224"/>
      <c r="E501" s="224"/>
      <c r="F501" s="224"/>
    </row>
    <row r="502" spans="1:6">
      <c r="A502" s="224"/>
      <c r="B502" s="224"/>
      <c r="C502" s="224"/>
      <c r="D502" s="224"/>
      <c r="E502" s="224"/>
      <c r="F502" s="224"/>
    </row>
    <row r="503" spans="1:6">
      <c r="A503" s="224"/>
      <c r="B503" s="224"/>
      <c r="C503" s="224"/>
      <c r="D503" s="224"/>
      <c r="E503" s="224"/>
      <c r="F503" s="224"/>
    </row>
    <row r="504" spans="1:6">
      <c r="A504" s="224"/>
      <c r="B504" s="224"/>
      <c r="C504" s="224"/>
      <c r="D504" s="224"/>
      <c r="E504" s="224"/>
      <c r="F504" s="224"/>
    </row>
    <row r="505" spans="1:6">
      <c r="A505" s="224"/>
      <c r="B505" s="224"/>
      <c r="C505" s="224"/>
      <c r="D505" s="224"/>
      <c r="E505" s="224"/>
      <c r="F505" s="224"/>
    </row>
    <row r="506" spans="1:6">
      <c r="A506" s="224"/>
      <c r="B506" s="224"/>
      <c r="C506" s="224"/>
      <c r="D506" s="224"/>
      <c r="E506" s="224"/>
      <c r="F506" s="224"/>
    </row>
    <row r="507" spans="1:6">
      <c r="A507" s="224"/>
      <c r="B507" s="224"/>
      <c r="C507" s="224"/>
      <c r="D507" s="224"/>
      <c r="E507" s="224"/>
      <c r="F507" s="224"/>
    </row>
    <row r="508" spans="1:6">
      <c r="A508" s="224"/>
      <c r="B508" s="224"/>
      <c r="C508" s="224"/>
      <c r="D508" s="224"/>
      <c r="E508" s="224"/>
      <c r="F508" s="224"/>
    </row>
    <row r="509" spans="1:6">
      <c r="A509" s="224"/>
      <c r="B509" s="224"/>
      <c r="C509" s="224"/>
      <c r="D509" s="224"/>
      <c r="E509" s="224"/>
      <c r="F509" s="224"/>
    </row>
    <row r="510" spans="1:6">
      <c r="A510" s="224"/>
      <c r="B510" s="224"/>
      <c r="C510" s="224"/>
      <c r="D510" s="224"/>
      <c r="E510" s="224"/>
      <c r="F510" s="224"/>
    </row>
    <row r="511" spans="1:6">
      <c r="A511" s="224"/>
      <c r="B511" s="224"/>
      <c r="C511" s="224"/>
      <c r="D511" s="224"/>
      <c r="E511" s="224"/>
      <c r="F511" s="224"/>
    </row>
    <row r="512" spans="1:6">
      <c r="A512" s="224"/>
      <c r="B512" s="224"/>
      <c r="C512" s="224"/>
      <c r="D512" s="224"/>
      <c r="E512" s="224"/>
      <c r="F512" s="224"/>
    </row>
    <row r="513" spans="1:6">
      <c r="A513" s="224"/>
      <c r="B513" s="224"/>
      <c r="C513" s="224"/>
      <c r="D513" s="224"/>
      <c r="E513" s="224"/>
      <c r="F513" s="224"/>
    </row>
    <row r="514" spans="1:6">
      <c r="A514" s="224"/>
      <c r="B514" s="224"/>
      <c r="C514" s="224"/>
      <c r="D514" s="224"/>
      <c r="E514" s="224"/>
      <c r="F514" s="224"/>
    </row>
    <row r="515" spans="1:6">
      <c r="A515" s="224"/>
      <c r="B515" s="224"/>
      <c r="C515" s="224"/>
      <c r="D515" s="224"/>
      <c r="E515" s="224"/>
      <c r="F515" s="224"/>
    </row>
    <row r="516" spans="1:6">
      <c r="A516" s="224"/>
      <c r="B516" s="224"/>
      <c r="C516" s="224"/>
      <c r="D516" s="224"/>
      <c r="E516" s="224"/>
      <c r="F516" s="224"/>
    </row>
    <row r="517" spans="1:6">
      <c r="A517" s="224"/>
      <c r="B517" s="224"/>
      <c r="C517" s="224"/>
      <c r="D517" s="224"/>
      <c r="E517" s="224"/>
      <c r="F517" s="224"/>
    </row>
    <row r="518" spans="1:6">
      <c r="A518" s="224"/>
      <c r="B518" s="224"/>
      <c r="C518" s="224"/>
      <c r="D518" s="224"/>
      <c r="E518" s="224"/>
      <c r="F518" s="224"/>
    </row>
    <row r="519" spans="1:6">
      <c r="A519" s="224"/>
      <c r="B519" s="224"/>
      <c r="C519" s="224"/>
      <c r="D519" s="224"/>
      <c r="E519" s="224"/>
      <c r="F519" s="224"/>
    </row>
    <row r="520" spans="1:6">
      <c r="A520" s="224"/>
      <c r="B520" s="224"/>
      <c r="C520" s="224"/>
      <c r="D520" s="224"/>
      <c r="E520" s="224"/>
      <c r="F520" s="224"/>
    </row>
    <row r="521" spans="1:6">
      <c r="A521" s="224"/>
      <c r="B521" s="224"/>
      <c r="C521" s="224"/>
      <c r="D521" s="224"/>
      <c r="E521" s="224"/>
      <c r="F521" s="224"/>
    </row>
    <row r="522" spans="1:6">
      <c r="A522" s="224"/>
      <c r="B522" s="224"/>
      <c r="C522" s="224"/>
      <c r="D522" s="224"/>
      <c r="E522" s="224"/>
      <c r="F522" s="224"/>
    </row>
    <row r="523" spans="1:6">
      <c r="A523" s="224"/>
      <c r="B523" s="224"/>
      <c r="C523" s="224"/>
      <c r="D523" s="224"/>
      <c r="E523" s="224"/>
      <c r="F523" s="224"/>
    </row>
    <row r="524" spans="1:6">
      <c r="A524" s="224"/>
      <c r="B524" s="224"/>
      <c r="C524" s="224"/>
      <c r="D524" s="224"/>
      <c r="E524" s="224"/>
      <c r="F524" s="224"/>
    </row>
    <row r="525" spans="1:6">
      <c r="A525" s="224"/>
      <c r="B525" s="224"/>
      <c r="C525" s="224"/>
      <c r="D525" s="224"/>
      <c r="E525" s="224"/>
      <c r="F525" s="224"/>
    </row>
    <row r="526" spans="1:6">
      <c r="A526" s="224"/>
      <c r="B526" s="224"/>
      <c r="C526" s="224"/>
      <c r="D526" s="224"/>
      <c r="E526" s="224"/>
      <c r="F526" s="224"/>
    </row>
    <row r="527" spans="1:6">
      <c r="A527" s="224"/>
      <c r="B527" s="224"/>
      <c r="C527" s="224"/>
      <c r="D527" s="224"/>
      <c r="E527" s="224"/>
      <c r="F527" s="224"/>
    </row>
    <row r="528" spans="1:6">
      <c r="A528" s="224"/>
      <c r="B528" s="224"/>
      <c r="C528" s="224"/>
      <c r="D528" s="224"/>
      <c r="E528" s="224"/>
      <c r="F528" s="224"/>
    </row>
    <row r="529" spans="1:6">
      <c r="A529" s="224"/>
      <c r="B529" s="224"/>
      <c r="C529" s="224"/>
      <c r="D529" s="224"/>
      <c r="E529" s="224"/>
      <c r="F529" s="224"/>
    </row>
    <row r="530" spans="1:6">
      <c r="A530" s="224"/>
      <c r="B530" s="224"/>
      <c r="C530" s="224"/>
      <c r="D530" s="224"/>
      <c r="E530" s="224"/>
      <c r="F530" s="224"/>
    </row>
    <row r="531" spans="1:6">
      <c r="A531" s="224"/>
      <c r="B531" s="224"/>
      <c r="C531" s="224"/>
      <c r="D531" s="224"/>
      <c r="E531" s="224"/>
      <c r="F531" s="224"/>
    </row>
    <row r="532" spans="1:6">
      <c r="A532" s="224"/>
      <c r="B532" s="224"/>
      <c r="C532" s="224"/>
      <c r="D532" s="224"/>
      <c r="E532" s="224"/>
      <c r="F532" s="224"/>
    </row>
    <row r="533" spans="1:6">
      <c r="A533" s="224"/>
      <c r="B533" s="224"/>
      <c r="C533" s="224"/>
      <c r="D533" s="224"/>
      <c r="E533" s="224"/>
      <c r="F533" s="224"/>
    </row>
    <row r="534" spans="1:6">
      <c r="A534" s="224"/>
      <c r="B534" s="224"/>
      <c r="C534" s="224"/>
      <c r="D534" s="224"/>
      <c r="E534" s="224"/>
      <c r="F534" s="224"/>
    </row>
    <row r="535" spans="1:6">
      <c r="A535" s="224"/>
      <c r="B535" s="224"/>
      <c r="C535" s="224"/>
      <c r="D535" s="224"/>
      <c r="E535" s="224"/>
      <c r="F535" s="224"/>
    </row>
    <row r="536" spans="1:6">
      <c r="A536" s="224"/>
      <c r="B536" s="224"/>
      <c r="C536" s="224"/>
      <c r="D536" s="224"/>
      <c r="E536" s="224"/>
      <c r="F536" s="224"/>
    </row>
    <row r="537" spans="1:6">
      <c r="A537" s="224"/>
      <c r="B537" s="224"/>
      <c r="C537" s="224"/>
      <c r="D537" s="224"/>
      <c r="E537" s="224"/>
      <c r="F537" s="224"/>
    </row>
    <row r="538" spans="1:6">
      <c r="A538" s="224"/>
      <c r="B538" s="224"/>
      <c r="C538" s="224"/>
      <c r="D538" s="224"/>
      <c r="E538" s="224"/>
      <c r="F538" s="224"/>
    </row>
    <row r="539" spans="1:6">
      <c r="A539" s="224"/>
      <c r="B539" s="224"/>
      <c r="C539" s="224"/>
      <c r="D539" s="224"/>
      <c r="E539" s="224"/>
      <c r="F539" s="224"/>
    </row>
    <row r="540" spans="1:6">
      <c r="A540" s="224"/>
      <c r="B540" s="224"/>
      <c r="C540" s="224"/>
      <c r="D540" s="224"/>
      <c r="E540" s="224"/>
      <c r="F540" s="224"/>
    </row>
    <row r="541" spans="1:6">
      <c r="A541" s="224"/>
      <c r="B541" s="224"/>
      <c r="C541" s="224"/>
      <c r="D541" s="224"/>
      <c r="E541" s="224"/>
      <c r="F541" s="224"/>
    </row>
    <row r="542" spans="1:6">
      <c r="A542" s="224"/>
      <c r="B542" s="224"/>
      <c r="C542" s="224"/>
      <c r="D542" s="224"/>
      <c r="E542" s="224"/>
      <c r="F542" s="224"/>
    </row>
    <row r="543" spans="1:6">
      <c r="A543" s="224"/>
      <c r="B543" s="224"/>
      <c r="C543" s="224"/>
      <c r="D543" s="224"/>
      <c r="E543" s="224"/>
      <c r="F543" s="224"/>
    </row>
    <row r="544" spans="1:6">
      <c r="A544" s="224"/>
      <c r="B544" s="224"/>
      <c r="C544" s="224"/>
      <c r="D544" s="224"/>
      <c r="E544" s="224"/>
      <c r="F544" s="224"/>
    </row>
    <row r="545" spans="1:6">
      <c r="A545" s="224"/>
      <c r="B545" s="224"/>
      <c r="C545" s="224"/>
      <c r="D545" s="224"/>
      <c r="E545" s="224"/>
      <c r="F545" s="224"/>
    </row>
    <row r="546" spans="1:6">
      <c r="A546" s="224"/>
      <c r="B546" s="224"/>
      <c r="C546" s="224"/>
      <c r="D546" s="224"/>
      <c r="E546" s="224"/>
      <c r="F546" s="224"/>
    </row>
    <row r="547" spans="1:6">
      <c r="A547" s="224"/>
      <c r="B547" s="224"/>
      <c r="C547" s="224"/>
      <c r="D547" s="224"/>
      <c r="E547" s="224"/>
      <c r="F547" s="224"/>
    </row>
    <row r="548" spans="1:6">
      <c r="A548" s="224"/>
      <c r="B548" s="224"/>
      <c r="C548" s="224"/>
      <c r="D548" s="224"/>
      <c r="E548" s="224"/>
      <c r="F548" s="224"/>
    </row>
    <row r="549" spans="1:6">
      <c r="A549" s="224"/>
      <c r="B549" s="224"/>
      <c r="C549" s="224"/>
      <c r="D549" s="224"/>
      <c r="E549" s="224"/>
      <c r="F549" s="224"/>
    </row>
    <row r="550" spans="1:6">
      <c r="A550" s="224"/>
      <c r="B550" s="224"/>
      <c r="C550" s="224"/>
      <c r="D550" s="224"/>
      <c r="E550" s="224"/>
      <c r="F550" s="224"/>
    </row>
    <row r="551" spans="1:6">
      <c r="A551" s="224"/>
      <c r="B551" s="224"/>
      <c r="C551" s="224"/>
      <c r="D551" s="224"/>
      <c r="E551" s="224"/>
      <c r="F551" s="224"/>
    </row>
    <row r="552" spans="1:6">
      <c r="A552" s="224"/>
      <c r="B552" s="224"/>
      <c r="C552" s="224"/>
      <c r="D552" s="224"/>
      <c r="E552" s="224"/>
      <c r="F552" s="224"/>
    </row>
    <row r="553" spans="1:6">
      <c r="A553" s="224"/>
      <c r="B553" s="224"/>
      <c r="C553" s="224"/>
      <c r="D553" s="224"/>
      <c r="E553" s="224"/>
      <c r="F553" s="224"/>
    </row>
    <row r="554" spans="1:6">
      <c r="A554" s="224"/>
      <c r="B554" s="224"/>
      <c r="C554" s="224"/>
      <c r="D554" s="224"/>
      <c r="E554" s="224"/>
      <c r="F554" s="224"/>
    </row>
    <row r="555" spans="1:6">
      <c r="A555" s="224"/>
      <c r="B555" s="224"/>
      <c r="C555" s="224"/>
      <c r="D555" s="224"/>
      <c r="E555" s="224"/>
      <c r="F555" s="224"/>
    </row>
    <row r="556" spans="1:6">
      <c r="A556" s="224"/>
      <c r="B556" s="224"/>
      <c r="C556" s="224"/>
      <c r="D556" s="224"/>
      <c r="E556" s="224"/>
      <c r="F556" s="224"/>
    </row>
    <row r="557" spans="1:6">
      <c r="A557" s="224"/>
      <c r="B557" s="224"/>
      <c r="C557" s="224"/>
      <c r="D557" s="224"/>
      <c r="E557" s="224"/>
      <c r="F557" s="224"/>
    </row>
    <row r="558" spans="1:6">
      <c r="A558" s="224"/>
      <c r="B558" s="224"/>
      <c r="C558" s="224"/>
      <c r="D558" s="224"/>
      <c r="E558" s="224"/>
      <c r="F558" s="224"/>
    </row>
    <row r="559" spans="1:6">
      <c r="A559" s="224"/>
      <c r="B559" s="224"/>
      <c r="C559" s="224"/>
      <c r="D559" s="224"/>
      <c r="E559" s="224"/>
      <c r="F559" s="224"/>
    </row>
    <row r="560" spans="1:6">
      <c r="A560" s="224"/>
      <c r="B560" s="224"/>
      <c r="C560" s="224"/>
      <c r="D560" s="224"/>
      <c r="E560" s="224"/>
      <c r="F560" s="224"/>
    </row>
    <row r="561" spans="1:6">
      <c r="A561" s="224"/>
      <c r="B561" s="224"/>
      <c r="C561" s="224"/>
      <c r="D561" s="224"/>
      <c r="E561" s="224"/>
      <c r="F561" s="224"/>
    </row>
    <row r="562" spans="1:6">
      <c r="A562" s="224"/>
      <c r="B562" s="224"/>
      <c r="C562" s="224"/>
      <c r="D562" s="224"/>
      <c r="E562" s="224"/>
      <c r="F562" s="224"/>
    </row>
    <row r="563" spans="1:6">
      <c r="A563" s="224"/>
      <c r="B563" s="224"/>
      <c r="C563" s="224"/>
      <c r="D563" s="224"/>
      <c r="E563" s="224"/>
      <c r="F563" s="224"/>
    </row>
    <row r="564" spans="1:6">
      <c r="A564" s="224"/>
      <c r="B564" s="224"/>
      <c r="C564" s="224"/>
      <c r="D564" s="224"/>
      <c r="E564" s="224"/>
      <c r="F564" s="224"/>
    </row>
    <row r="565" spans="1:6">
      <c r="A565" s="224"/>
      <c r="B565" s="224"/>
      <c r="C565" s="224"/>
      <c r="D565" s="224"/>
      <c r="E565" s="224"/>
      <c r="F565" s="224"/>
    </row>
    <row r="566" spans="1:6">
      <c r="A566" s="224"/>
      <c r="B566" s="224"/>
      <c r="C566" s="224"/>
      <c r="D566" s="224"/>
      <c r="E566" s="224"/>
      <c r="F566" s="224"/>
    </row>
    <row r="567" spans="1:6">
      <c r="A567" s="224"/>
      <c r="B567" s="224"/>
      <c r="C567" s="224"/>
      <c r="D567" s="224"/>
      <c r="E567" s="224"/>
      <c r="F567" s="224"/>
    </row>
    <row r="568" spans="1:6">
      <c r="A568" s="224"/>
      <c r="B568" s="224"/>
      <c r="C568" s="224"/>
      <c r="D568" s="224"/>
      <c r="E568" s="224"/>
      <c r="F568" s="224"/>
    </row>
    <row r="569" spans="1:6">
      <c r="A569" s="224"/>
      <c r="B569" s="224"/>
      <c r="C569" s="224"/>
      <c r="D569" s="224"/>
      <c r="E569" s="224"/>
      <c r="F569" s="224"/>
    </row>
    <row r="570" spans="1:6">
      <c r="A570" s="224"/>
      <c r="B570" s="224"/>
      <c r="C570" s="224"/>
      <c r="D570" s="224"/>
      <c r="E570" s="224"/>
      <c r="F570" s="224"/>
    </row>
    <row r="571" spans="1:6">
      <c r="A571" s="224"/>
      <c r="B571" s="224"/>
      <c r="C571" s="224"/>
      <c r="D571" s="224"/>
      <c r="E571" s="224"/>
      <c r="F571" s="224"/>
    </row>
    <row r="572" spans="1:6">
      <c r="A572" s="224"/>
      <c r="B572" s="224"/>
      <c r="C572" s="224"/>
      <c r="D572" s="224"/>
      <c r="E572" s="224"/>
      <c r="F572" s="224"/>
    </row>
    <row r="573" spans="1:6">
      <c r="A573" s="224"/>
      <c r="B573" s="224"/>
      <c r="C573" s="224"/>
      <c r="D573" s="224"/>
      <c r="E573" s="224"/>
      <c r="F573" s="224"/>
    </row>
    <row r="574" spans="1:6">
      <c r="A574" s="224"/>
      <c r="B574" s="224"/>
      <c r="C574" s="224"/>
      <c r="D574" s="224"/>
      <c r="E574" s="224"/>
      <c r="F574" s="224"/>
    </row>
    <row r="575" spans="1:6">
      <c r="A575" s="224"/>
      <c r="B575" s="224"/>
      <c r="C575" s="224"/>
      <c r="D575" s="224"/>
      <c r="E575" s="224"/>
      <c r="F575" s="224"/>
    </row>
    <row r="576" spans="1:6">
      <c r="A576" s="224"/>
      <c r="B576" s="224"/>
      <c r="C576" s="224"/>
      <c r="D576" s="224"/>
      <c r="E576" s="224"/>
      <c r="F576" s="224"/>
    </row>
    <row r="577" spans="1:6">
      <c r="A577" s="224"/>
      <c r="B577" s="224"/>
      <c r="C577" s="224"/>
      <c r="D577" s="224"/>
      <c r="E577" s="224"/>
      <c r="F577" s="224"/>
    </row>
    <row r="578" spans="1:6">
      <c r="A578" s="224"/>
      <c r="B578" s="224"/>
      <c r="C578" s="224"/>
      <c r="D578" s="224"/>
      <c r="E578" s="224"/>
      <c r="F578" s="224"/>
    </row>
    <row r="579" spans="1:6">
      <c r="A579" s="224"/>
      <c r="B579" s="224"/>
      <c r="C579" s="224"/>
      <c r="D579" s="224"/>
      <c r="E579" s="224"/>
      <c r="F579" s="224"/>
    </row>
    <row r="580" spans="1:6">
      <c r="A580" s="224"/>
      <c r="B580" s="224"/>
      <c r="C580" s="224"/>
      <c r="D580" s="224"/>
      <c r="E580" s="224"/>
      <c r="F580" s="224"/>
    </row>
    <row r="581" spans="1:6">
      <c r="A581" s="224"/>
      <c r="B581" s="224"/>
      <c r="C581" s="224"/>
      <c r="D581" s="224"/>
      <c r="E581" s="224"/>
      <c r="F581" s="224"/>
    </row>
    <row r="582" spans="1:6">
      <c r="A582" s="224"/>
      <c r="B582" s="224"/>
      <c r="C582" s="224"/>
      <c r="D582" s="224"/>
      <c r="E582" s="224"/>
      <c r="F582" s="224"/>
    </row>
    <row r="583" spans="1:6">
      <c r="A583" s="224"/>
      <c r="B583" s="224"/>
      <c r="C583" s="224"/>
      <c r="D583" s="224"/>
      <c r="E583" s="224"/>
      <c r="F583" s="224"/>
    </row>
    <row r="584" spans="1:6">
      <c r="A584" s="224"/>
      <c r="B584" s="224"/>
      <c r="C584" s="224"/>
      <c r="D584" s="224"/>
      <c r="E584" s="224"/>
      <c r="F584" s="224"/>
    </row>
    <row r="585" spans="1:6">
      <c r="A585" s="224"/>
      <c r="B585" s="224"/>
      <c r="C585" s="224"/>
      <c r="D585" s="224"/>
      <c r="E585" s="224"/>
      <c r="F585" s="224"/>
    </row>
    <row r="586" spans="1:6">
      <c r="A586" s="224"/>
      <c r="B586" s="224"/>
      <c r="C586" s="224"/>
      <c r="D586" s="224"/>
      <c r="E586" s="224"/>
      <c r="F586" s="224"/>
    </row>
    <row r="587" spans="1:6">
      <c r="A587" s="224"/>
      <c r="B587" s="224"/>
      <c r="C587" s="224"/>
      <c r="D587" s="224"/>
      <c r="E587" s="224"/>
      <c r="F587" s="224"/>
    </row>
    <row r="588" spans="1:6">
      <c r="A588" s="224"/>
      <c r="B588" s="224"/>
      <c r="C588" s="224"/>
      <c r="D588" s="224"/>
      <c r="E588" s="224"/>
      <c r="F588" s="224"/>
    </row>
    <row r="589" spans="1:6">
      <c r="A589" s="224"/>
      <c r="B589" s="224"/>
      <c r="C589" s="224"/>
      <c r="D589" s="224"/>
      <c r="E589" s="224"/>
      <c r="F589" s="224"/>
    </row>
    <row r="590" spans="1:6">
      <c r="A590" s="224"/>
      <c r="B590" s="224"/>
      <c r="C590" s="224"/>
      <c r="D590" s="224"/>
      <c r="E590" s="224"/>
      <c r="F590" s="224"/>
    </row>
    <row r="591" spans="1:6">
      <c r="A591" s="224"/>
      <c r="B591" s="224"/>
      <c r="C591" s="224"/>
      <c r="D591" s="224"/>
      <c r="E591" s="224"/>
      <c r="F591" s="224"/>
    </row>
    <row r="592" spans="1:6">
      <c r="A592" s="224"/>
      <c r="B592" s="224"/>
      <c r="C592" s="224"/>
      <c r="D592" s="224"/>
      <c r="E592" s="224"/>
      <c r="F592" s="224"/>
    </row>
    <row r="593" spans="1:6">
      <c r="A593" s="224"/>
      <c r="B593" s="224"/>
      <c r="C593" s="224"/>
      <c r="D593" s="224"/>
      <c r="E593" s="224"/>
      <c r="F593" s="224"/>
    </row>
    <row r="594" spans="1:6">
      <c r="A594" s="224"/>
      <c r="B594" s="224"/>
      <c r="C594" s="224"/>
      <c r="D594" s="224"/>
      <c r="E594" s="224"/>
      <c r="F594" s="224"/>
    </row>
    <row r="595" spans="1:6">
      <c r="A595" s="224"/>
      <c r="B595" s="224"/>
      <c r="C595" s="224"/>
      <c r="D595" s="224"/>
      <c r="E595" s="224"/>
      <c r="F595" s="224"/>
    </row>
    <row r="596" spans="1:6">
      <c r="A596" s="224"/>
      <c r="B596" s="224"/>
      <c r="C596" s="224"/>
      <c r="D596" s="224"/>
      <c r="E596" s="224"/>
      <c r="F596" s="224"/>
    </row>
    <row r="597" spans="1:6">
      <c r="A597" s="224"/>
      <c r="B597" s="224"/>
      <c r="C597" s="224"/>
      <c r="D597" s="224"/>
      <c r="E597" s="224"/>
      <c r="F597" s="224"/>
    </row>
    <row r="598" spans="1:6">
      <c r="A598" s="224"/>
      <c r="B598" s="224"/>
      <c r="C598" s="224"/>
      <c r="D598" s="224"/>
      <c r="E598" s="224"/>
      <c r="F598" s="224"/>
    </row>
    <row r="599" spans="1:6">
      <c r="A599" s="224"/>
      <c r="B599" s="224"/>
      <c r="C599" s="224"/>
      <c r="D599" s="224"/>
      <c r="E599" s="224"/>
      <c r="F599" s="224"/>
    </row>
    <row r="600" spans="1:6">
      <c r="A600" s="224"/>
      <c r="B600" s="224"/>
      <c r="C600" s="224"/>
      <c r="D600" s="224"/>
      <c r="E600" s="224"/>
      <c r="F600" s="224"/>
    </row>
    <row r="601" spans="1:6">
      <c r="A601" s="224"/>
      <c r="B601" s="224"/>
      <c r="C601" s="224"/>
      <c r="D601" s="224"/>
      <c r="E601" s="224"/>
      <c r="F601" s="224"/>
    </row>
    <row r="602" spans="1:6">
      <c r="A602" s="224"/>
      <c r="B602" s="224"/>
      <c r="C602" s="224"/>
      <c r="D602" s="224"/>
      <c r="E602" s="224"/>
      <c r="F602" s="224"/>
    </row>
    <row r="603" spans="1:6">
      <c r="A603" s="224"/>
      <c r="B603" s="224"/>
      <c r="C603" s="224"/>
      <c r="D603" s="224"/>
      <c r="E603" s="224"/>
      <c r="F603" s="224"/>
    </row>
    <row r="604" spans="1:6">
      <c r="A604" s="224"/>
      <c r="B604" s="224"/>
      <c r="C604" s="224"/>
      <c r="D604" s="224"/>
      <c r="E604" s="224"/>
      <c r="F604" s="224"/>
    </row>
    <row r="605" spans="1:6">
      <c r="A605" s="224"/>
      <c r="B605" s="224"/>
      <c r="C605" s="224"/>
      <c r="D605" s="224"/>
      <c r="E605" s="224"/>
      <c r="F605" s="224"/>
    </row>
    <row r="606" spans="1:6">
      <c r="A606" s="224"/>
      <c r="B606" s="224"/>
      <c r="C606" s="224"/>
      <c r="D606" s="224"/>
      <c r="E606" s="224"/>
      <c r="F606" s="224"/>
    </row>
    <row r="607" spans="1:6">
      <c r="A607" s="224"/>
      <c r="B607" s="224"/>
      <c r="C607" s="224"/>
      <c r="D607" s="224"/>
      <c r="E607" s="224"/>
      <c r="F607" s="224"/>
    </row>
    <row r="608" spans="1:6">
      <c r="A608" s="224"/>
      <c r="B608" s="224"/>
      <c r="C608" s="224"/>
      <c r="D608" s="224"/>
      <c r="E608" s="224"/>
      <c r="F608" s="224"/>
    </row>
    <row r="609" spans="1:6">
      <c r="A609" s="224"/>
      <c r="B609" s="224"/>
      <c r="C609" s="224"/>
      <c r="D609" s="224"/>
      <c r="E609" s="224"/>
      <c r="F609" s="224"/>
    </row>
    <row r="610" spans="1:6">
      <c r="A610" s="224"/>
      <c r="B610" s="224"/>
      <c r="C610" s="224"/>
      <c r="D610" s="224"/>
      <c r="E610" s="224"/>
      <c r="F610" s="224"/>
    </row>
    <row r="611" spans="1:6">
      <c r="A611" s="224"/>
      <c r="B611" s="224"/>
      <c r="C611" s="224"/>
      <c r="D611" s="224"/>
      <c r="E611" s="224"/>
      <c r="F611" s="224"/>
    </row>
    <row r="612" spans="1:6">
      <c r="A612" s="224"/>
      <c r="B612" s="224"/>
      <c r="C612" s="224"/>
      <c r="D612" s="224"/>
      <c r="E612" s="224"/>
      <c r="F612" s="224"/>
    </row>
    <row r="613" spans="1:6">
      <c r="A613" s="224"/>
      <c r="B613" s="224"/>
      <c r="C613" s="224"/>
      <c r="D613" s="224"/>
      <c r="E613" s="224"/>
      <c r="F613" s="224"/>
    </row>
    <row r="614" spans="1:6">
      <c r="A614" s="224"/>
      <c r="B614" s="224"/>
      <c r="C614" s="224"/>
      <c r="D614" s="224"/>
      <c r="E614" s="224"/>
      <c r="F614" s="224"/>
    </row>
    <row r="615" spans="1:6">
      <c r="A615" s="224"/>
      <c r="B615" s="224"/>
      <c r="C615" s="224"/>
      <c r="D615" s="224"/>
      <c r="E615" s="224"/>
      <c r="F615" s="224"/>
    </row>
    <row r="616" spans="1:6">
      <c r="A616" s="224"/>
      <c r="B616" s="224"/>
      <c r="C616" s="224"/>
      <c r="D616" s="224"/>
      <c r="E616" s="224"/>
      <c r="F616" s="224"/>
    </row>
    <row r="617" spans="1:6">
      <c r="A617" s="224"/>
      <c r="B617" s="224"/>
      <c r="C617" s="224"/>
      <c r="D617" s="224"/>
      <c r="E617" s="224"/>
      <c r="F617" s="224"/>
    </row>
    <row r="618" spans="1:6">
      <c r="A618" s="224"/>
      <c r="B618" s="224"/>
      <c r="C618" s="224"/>
      <c r="D618" s="224"/>
      <c r="E618" s="224"/>
      <c r="F618" s="224"/>
    </row>
    <row r="619" spans="1:6">
      <c r="A619" s="224"/>
      <c r="B619" s="224"/>
      <c r="C619" s="224"/>
      <c r="D619" s="224"/>
      <c r="E619" s="224"/>
      <c r="F619" s="224"/>
    </row>
    <row r="620" spans="1:6">
      <c r="A620" s="224"/>
      <c r="B620" s="224"/>
      <c r="C620" s="224"/>
      <c r="D620" s="224"/>
      <c r="E620" s="224"/>
      <c r="F620" s="224"/>
    </row>
    <row r="621" spans="1:6">
      <c r="A621" s="224"/>
      <c r="B621" s="224"/>
      <c r="C621" s="224"/>
      <c r="D621" s="224"/>
      <c r="E621" s="224"/>
      <c r="F621" s="224"/>
    </row>
    <row r="622" spans="1:6">
      <c r="A622" s="224"/>
      <c r="B622" s="224"/>
      <c r="C622" s="224"/>
      <c r="D622" s="224"/>
      <c r="E622" s="224"/>
      <c r="F622" s="224"/>
    </row>
    <row r="623" spans="1:6">
      <c r="A623" s="224"/>
      <c r="B623" s="224"/>
      <c r="C623" s="224"/>
      <c r="D623" s="224"/>
      <c r="E623" s="224"/>
      <c r="F623" s="224"/>
    </row>
    <row r="624" spans="1:6">
      <c r="A624" s="224"/>
      <c r="B624" s="224"/>
      <c r="C624" s="224"/>
      <c r="D624" s="224"/>
      <c r="E624" s="224"/>
      <c r="F624" s="224"/>
    </row>
    <row r="625" spans="1:6">
      <c r="A625" s="224"/>
      <c r="B625" s="224"/>
      <c r="C625" s="224"/>
      <c r="D625" s="224"/>
      <c r="E625" s="224"/>
      <c r="F625" s="224"/>
    </row>
    <row r="626" spans="1:6">
      <c r="A626" s="224"/>
      <c r="B626" s="224"/>
      <c r="C626" s="224"/>
      <c r="D626" s="224"/>
      <c r="E626" s="224"/>
      <c r="F626" s="224"/>
    </row>
    <row r="627" spans="1:6">
      <c r="A627" s="224"/>
      <c r="B627" s="224"/>
      <c r="C627" s="224"/>
      <c r="D627" s="224"/>
      <c r="E627" s="224"/>
      <c r="F627" s="224"/>
    </row>
    <row r="628" spans="1:6">
      <c r="A628" s="224"/>
      <c r="B628" s="224"/>
      <c r="C628" s="224"/>
      <c r="D628" s="224"/>
      <c r="E628" s="224"/>
      <c r="F628" s="224"/>
    </row>
    <row r="629" spans="1:6">
      <c r="A629" s="224"/>
      <c r="B629" s="224"/>
      <c r="C629" s="224"/>
      <c r="D629" s="224"/>
      <c r="E629" s="224"/>
      <c r="F629" s="224"/>
    </row>
    <row r="630" spans="1:6">
      <c r="A630" s="224"/>
      <c r="B630" s="224"/>
      <c r="C630" s="224"/>
      <c r="D630" s="224"/>
      <c r="E630" s="224"/>
      <c r="F630" s="224"/>
    </row>
    <row r="631" spans="1:6">
      <c r="A631" s="224"/>
      <c r="B631" s="224"/>
      <c r="C631" s="224"/>
      <c r="D631" s="224"/>
      <c r="E631" s="224"/>
      <c r="F631" s="224"/>
    </row>
    <row r="632" spans="1:6">
      <c r="A632" s="224"/>
      <c r="B632" s="224"/>
      <c r="C632" s="224"/>
      <c r="D632" s="224"/>
      <c r="E632" s="224"/>
      <c r="F632" s="224"/>
    </row>
    <row r="633" spans="1:6">
      <c r="A633" s="224"/>
      <c r="B633" s="224"/>
      <c r="C633" s="224"/>
      <c r="D633" s="224"/>
      <c r="E633" s="224"/>
      <c r="F633" s="224"/>
    </row>
    <row r="634" spans="1:6">
      <c r="A634" s="224"/>
      <c r="B634" s="224"/>
      <c r="C634" s="224"/>
      <c r="D634" s="224"/>
      <c r="E634" s="224"/>
      <c r="F634" s="224"/>
    </row>
    <row r="635" spans="1:6">
      <c r="A635" s="224"/>
      <c r="B635" s="224"/>
      <c r="C635" s="224"/>
      <c r="D635" s="224"/>
      <c r="E635" s="224"/>
      <c r="F635" s="224"/>
    </row>
    <row r="636" spans="1:6">
      <c r="A636" s="224"/>
      <c r="B636" s="224"/>
      <c r="C636" s="224"/>
      <c r="D636" s="224"/>
      <c r="E636" s="224"/>
      <c r="F636" s="224"/>
    </row>
    <row r="637" spans="1:6">
      <c r="A637" s="224"/>
      <c r="B637" s="224"/>
      <c r="C637" s="224"/>
      <c r="D637" s="224"/>
      <c r="E637" s="224"/>
      <c r="F637" s="224"/>
    </row>
    <row r="638" spans="1:6">
      <c r="A638" s="224"/>
      <c r="B638" s="224"/>
      <c r="C638" s="224"/>
      <c r="D638" s="224"/>
      <c r="E638" s="224"/>
      <c r="F638" s="224"/>
    </row>
    <row r="639" spans="1:6">
      <c r="A639" s="224"/>
      <c r="B639" s="224"/>
      <c r="C639" s="224"/>
      <c r="D639" s="224"/>
      <c r="E639" s="224"/>
      <c r="F639" s="224"/>
    </row>
    <row r="640" spans="1:6">
      <c r="A640" s="224"/>
      <c r="B640" s="224"/>
      <c r="C640" s="224"/>
      <c r="D640" s="224"/>
      <c r="E640" s="224"/>
      <c r="F640" s="224"/>
    </row>
    <row r="641" spans="1:6">
      <c r="A641" s="224"/>
      <c r="B641" s="224"/>
      <c r="C641" s="224"/>
      <c r="D641" s="224"/>
      <c r="E641" s="224"/>
      <c r="F641" s="224"/>
    </row>
    <row r="642" spans="1:6">
      <c r="A642" s="224"/>
      <c r="B642" s="224"/>
      <c r="C642" s="224"/>
      <c r="D642" s="224"/>
      <c r="E642" s="224"/>
      <c r="F642" s="224"/>
    </row>
    <row r="643" spans="1:6">
      <c r="A643" s="224"/>
      <c r="B643" s="224"/>
      <c r="C643" s="224"/>
      <c r="D643" s="224"/>
      <c r="E643" s="224"/>
      <c r="F643" s="224"/>
    </row>
    <row r="644" spans="1:6">
      <c r="A644" s="224"/>
      <c r="B644" s="224"/>
      <c r="C644" s="224"/>
      <c r="D644" s="224"/>
      <c r="E644" s="224"/>
      <c r="F644" s="224"/>
    </row>
    <row r="645" spans="1:6">
      <c r="A645" s="224"/>
      <c r="B645" s="224"/>
      <c r="C645" s="224"/>
      <c r="D645" s="224"/>
      <c r="E645" s="224"/>
      <c r="F645" s="224"/>
    </row>
    <row r="646" spans="1:6">
      <c r="A646" s="224"/>
      <c r="B646" s="224"/>
      <c r="C646" s="224"/>
      <c r="D646" s="224"/>
      <c r="E646" s="224"/>
      <c r="F646" s="224"/>
    </row>
    <row r="647" spans="1:6">
      <c r="A647" s="224"/>
      <c r="B647" s="224"/>
      <c r="C647" s="224"/>
      <c r="D647" s="224"/>
      <c r="E647" s="224"/>
      <c r="F647" s="224"/>
    </row>
    <row r="648" spans="1:6">
      <c r="A648" s="224"/>
      <c r="B648" s="224"/>
      <c r="C648" s="224"/>
      <c r="D648" s="224"/>
      <c r="E648" s="224"/>
      <c r="F648" s="224"/>
    </row>
    <row r="649" spans="1:6">
      <c r="A649" s="224"/>
      <c r="B649" s="224"/>
      <c r="C649" s="224"/>
      <c r="D649" s="224"/>
      <c r="E649" s="224"/>
      <c r="F649" s="224"/>
    </row>
    <row r="650" spans="1:6">
      <c r="A650" s="224"/>
      <c r="B650" s="224"/>
      <c r="C650" s="224"/>
      <c r="D650" s="224"/>
      <c r="E650" s="224"/>
      <c r="F650" s="224"/>
    </row>
    <row r="651" spans="1:6">
      <c r="A651" s="224"/>
      <c r="B651" s="224"/>
      <c r="C651" s="224"/>
      <c r="D651" s="224"/>
      <c r="E651" s="224"/>
      <c r="F651" s="224"/>
    </row>
    <row r="652" spans="1:6">
      <c r="A652" s="224"/>
      <c r="B652" s="224"/>
      <c r="C652" s="224"/>
      <c r="D652" s="224"/>
      <c r="E652" s="224"/>
      <c r="F652" s="224"/>
    </row>
    <row r="653" spans="1:6">
      <c r="A653" s="224"/>
      <c r="B653" s="224"/>
      <c r="C653" s="224"/>
      <c r="D653" s="224"/>
      <c r="E653" s="224"/>
      <c r="F653" s="224"/>
    </row>
    <row r="654" spans="1:6">
      <c r="A654" s="224"/>
      <c r="B654" s="224"/>
      <c r="C654" s="224"/>
      <c r="D654" s="224"/>
      <c r="E654" s="224"/>
      <c r="F654" s="224"/>
    </row>
    <row r="655" spans="1:6">
      <c r="A655" s="224"/>
      <c r="B655" s="224"/>
      <c r="C655" s="224"/>
      <c r="D655" s="224"/>
      <c r="E655" s="224"/>
      <c r="F655" s="224"/>
    </row>
    <row r="656" spans="1:6">
      <c r="A656" s="224"/>
      <c r="B656" s="224"/>
      <c r="C656" s="224"/>
      <c r="D656" s="224"/>
      <c r="E656" s="224"/>
      <c r="F656" s="224"/>
    </row>
    <row r="657" spans="1:6">
      <c r="A657" s="224"/>
      <c r="B657" s="224"/>
      <c r="C657" s="224"/>
      <c r="D657" s="224"/>
      <c r="E657" s="224"/>
      <c r="F657" s="224"/>
    </row>
    <row r="658" spans="1:6">
      <c r="A658" s="224"/>
      <c r="B658" s="224"/>
      <c r="C658" s="224"/>
      <c r="D658" s="224"/>
      <c r="E658" s="224"/>
      <c r="F658" s="224"/>
    </row>
    <row r="659" spans="1:6">
      <c r="A659" s="224"/>
      <c r="B659" s="224"/>
      <c r="C659" s="224"/>
      <c r="D659" s="224"/>
      <c r="E659" s="224"/>
      <c r="F659" s="224"/>
    </row>
    <row r="660" spans="1:6">
      <c r="A660" s="224"/>
      <c r="B660" s="224"/>
      <c r="C660" s="224"/>
      <c r="D660" s="224"/>
      <c r="E660" s="224"/>
      <c r="F660" s="224"/>
    </row>
    <row r="661" spans="1:6">
      <c r="A661" s="224"/>
      <c r="B661" s="224"/>
      <c r="C661" s="224"/>
      <c r="D661" s="224"/>
      <c r="E661" s="224"/>
      <c r="F661" s="224"/>
    </row>
    <row r="662" spans="1:6">
      <c r="A662" s="224"/>
      <c r="B662" s="224"/>
      <c r="C662" s="224"/>
      <c r="D662" s="224"/>
      <c r="E662" s="224"/>
      <c r="F662" s="224"/>
    </row>
    <row r="663" spans="1:6">
      <c r="A663" s="224"/>
      <c r="B663" s="224"/>
      <c r="C663" s="224"/>
      <c r="D663" s="224"/>
      <c r="E663" s="224"/>
      <c r="F663" s="224"/>
    </row>
    <row r="664" spans="1:6">
      <c r="A664" s="224"/>
      <c r="B664" s="224"/>
      <c r="C664" s="224"/>
      <c r="D664" s="224"/>
      <c r="E664" s="224"/>
      <c r="F664" s="224"/>
    </row>
    <row r="665" spans="1:6">
      <c r="A665" s="224"/>
      <c r="B665" s="224"/>
      <c r="C665" s="224"/>
      <c r="D665" s="224"/>
      <c r="E665" s="224"/>
      <c r="F665" s="224"/>
    </row>
    <row r="666" spans="1:6">
      <c r="A666" s="224"/>
      <c r="B666" s="224"/>
      <c r="C666" s="224"/>
      <c r="D666" s="224"/>
      <c r="E666" s="224"/>
      <c r="F666" s="224"/>
    </row>
    <row r="667" spans="1:6">
      <c r="A667" s="224"/>
      <c r="B667" s="224"/>
      <c r="C667" s="224"/>
      <c r="D667" s="224"/>
      <c r="E667" s="224"/>
      <c r="F667" s="224"/>
    </row>
    <row r="668" spans="1:6">
      <c r="A668" s="224"/>
      <c r="B668" s="224"/>
      <c r="C668" s="224"/>
      <c r="D668" s="224"/>
      <c r="E668" s="224"/>
      <c r="F668" s="224"/>
    </row>
    <row r="669" spans="1:6">
      <c r="A669" s="224"/>
      <c r="B669" s="224"/>
      <c r="C669" s="224"/>
      <c r="D669" s="224"/>
      <c r="E669" s="224"/>
      <c r="F669" s="224"/>
    </row>
    <row r="670" spans="1:6">
      <c r="A670" s="224"/>
      <c r="B670" s="224"/>
      <c r="C670" s="224"/>
      <c r="D670" s="224"/>
      <c r="E670" s="224"/>
      <c r="F670" s="224"/>
    </row>
    <row r="671" spans="1:6">
      <c r="A671" s="224"/>
      <c r="B671" s="224"/>
      <c r="C671" s="224"/>
      <c r="D671" s="224"/>
      <c r="E671" s="224"/>
      <c r="F671" s="224"/>
    </row>
    <row r="672" spans="1:6">
      <c r="A672" s="224"/>
      <c r="B672" s="224"/>
      <c r="C672" s="224"/>
      <c r="D672" s="224"/>
      <c r="E672" s="224"/>
      <c r="F672" s="224"/>
    </row>
    <row r="673" spans="1:6">
      <c r="A673" s="224"/>
      <c r="B673" s="224"/>
      <c r="C673" s="224"/>
      <c r="D673" s="224"/>
      <c r="E673" s="224"/>
      <c r="F673" s="224"/>
    </row>
    <row r="674" spans="1:6">
      <c r="A674" s="224"/>
      <c r="B674" s="224"/>
      <c r="C674" s="224"/>
      <c r="D674" s="224"/>
      <c r="E674" s="224"/>
      <c r="F674" s="224"/>
    </row>
    <row r="675" spans="1:6">
      <c r="A675" s="224"/>
      <c r="B675" s="224"/>
      <c r="C675" s="224"/>
      <c r="D675" s="224"/>
      <c r="E675" s="224"/>
      <c r="F675" s="224"/>
    </row>
    <row r="676" spans="1:6">
      <c r="A676" s="224"/>
      <c r="B676" s="224"/>
      <c r="C676" s="224"/>
      <c r="D676" s="224"/>
      <c r="E676" s="224"/>
      <c r="F676" s="224"/>
    </row>
    <row r="677" spans="1:6">
      <c r="A677" s="224"/>
      <c r="B677" s="224"/>
      <c r="C677" s="224"/>
      <c r="D677" s="224"/>
      <c r="E677" s="224"/>
      <c r="F677" s="224"/>
    </row>
    <row r="678" spans="1:6">
      <c r="A678" s="224"/>
      <c r="B678" s="224"/>
      <c r="C678" s="224"/>
      <c r="D678" s="224"/>
      <c r="E678" s="224"/>
      <c r="F678" s="224"/>
    </row>
    <row r="679" spans="1:6">
      <c r="A679" s="224"/>
      <c r="B679" s="224"/>
      <c r="C679" s="224"/>
      <c r="D679" s="224"/>
      <c r="E679" s="224"/>
      <c r="F679" s="224"/>
    </row>
    <row r="680" spans="1:6">
      <c r="A680" s="224"/>
      <c r="B680" s="224"/>
      <c r="C680" s="224"/>
      <c r="D680" s="224"/>
      <c r="E680" s="224"/>
      <c r="F680" s="224"/>
    </row>
    <row r="681" spans="1:6">
      <c r="A681" s="224"/>
      <c r="B681" s="224"/>
      <c r="C681" s="224"/>
      <c r="D681" s="224"/>
      <c r="E681" s="224"/>
      <c r="F681" s="224"/>
    </row>
    <row r="682" spans="1:6">
      <c r="A682" s="224"/>
      <c r="B682" s="224"/>
      <c r="C682" s="224"/>
      <c r="D682" s="224"/>
      <c r="E682" s="224"/>
      <c r="F682" s="224"/>
    </row>
    <row r="683" spans="1:6">
      <c r="A683" s="224"/>
      <c r="B683" s="224"/>
      <c r="C683" s="224"/>
      <c r="D683" s="224"/>
      <c r="E683" s="224"/>
      <c r="F683" s="224"/>
    </row>
    <row r="684" spans="1:6">
      <c r="A684" s="224"/>
      <c r="B684" s="224"/>
      <c r="C684" s="224"/>
      <c r="D684" s="224"/>
      <c r="E684" s="224"/>
      <c r="F684" s="224"/>
    </row>
    <row r="685" spans="1:6">
      <c r="A685" s="224"/>
      <c r="B685" s="224"/>
      <c r="C685" s="224"/>
      <c r="D685" s="224"/>
      <c r="E685" s="224"/>
      <c r="F685" s="224"/>
    </row>
    <row r="686" spans="1:6">
      <c r="A686" s="224"/>
      <c r="B686" s="224"/>
      <c r="C686" s="224"/>
      <c r="D686" s="224"/>
      <c r="E686" s="224"/>
      <c r="F686" s="224"/>
    </row>
    <row r="687" spans="1:6">
      <c r="A687" s="224"/>
      <c r="B687" s="224"/>
      <c r="C687" s="224"/>
      <c r="D687" s="224"/>
      <c r="E687" s="224"/>
      <c r="F687" s="224"/>
    </row>
    <row r="688" spans="1:6">
      <c r="A688" s="224"/>
      <c r="B688" s="224"/>
      <c r="C688" s="224"/>
      <c r="D688" s="224"/>
      <c r="E688" s="224"/>
      <c r="F688" s="224"/>
    </row>
    <row r="689" spans="1:6">
      <c r="A689" s="224"/>
      <c r="B689" s="224"/>
      <c r="C689" s="224"/>
      <c r="D689" s="224"/>
      <c r="E689" s="224"/>
      <c r="F689" s="224"/>
    </row>
    <row r="690" spans="1:6">
      <c r="A690" s="224"/>
      <c r="B690" s="224"/>
      <c r="C690" s="224"/>
      <c r="D690" s="224"/>
      <c r="E690" s="224"/>
      <c r="F690" s="224"/>
    </row>
    <row r="691" spans="1:6">
      <c r="A691" s="224"/>
      <c r="B691" s="224"/>
      <c r="C691" s="224"/>
      <c r="D691" s="224"/>
      <c r="E691" s="224"/>
      <c r="F691" s="224"/>
    </row>
    <row r="692" spans="1:6">
      <c r="A692" s="224"/>
      <c r="B692" s="224"/>
      <c r="C692" s="224"/>
      <c r="D692" s="224"/>
      <c r="E692" s="224"/>
      <c r="F692" s="224"/>
    </row>
    <row r="693" spans="1:6">
      <c r="A693" s="224"/>
      <c r="B693" s="224"/>
      <c r="C693" s="224"/>
      <c r="D693" s="224"/>
      <c r="E693" s="224"/>
      <c r="F693" s="224"/>
    </row>
    <row r="694" spans="1:6">
      <c r="A694" s="224"/>
      <c r="B694" s="224"/>
      <c r="C694" s="224"/>
      <c r="D694" s="224"/>
      <c r="E694" s="224"/>
      <c r="F694" s="224"/>
    </row>
    <row r="695" spans="1:6">
      <c r="A695" s="224"/>
      <c r="B695" s="224"/>
      <c r="C695" s="224"/>
      <c r="D695" s="224"/>
      <c r="E695" s="224"/>
      <c r="F695" s="224"/>
    </row>
    <row r="696" spans="1:6">
      <c r="A696" s="224"/>
      <c r="B696" s="224"/>
      <c r="C696" s="224"/>
      <c r="D696" s="224"/>
      <c r="E696" s="224"/>
      <c r="F696" s="224"/>
    </row>
    <row r="697" spans="1:6">
      <c r="A697" s="224"/>
      <c r="B697" s="224"/>
      <c r="C697" s="224"/>
      <c r="D697" s="224"/>
      <c r="E697" s="224"/>
      <c r="F697" s="224"/>
    </row>
    <row r="698" spans="1:6">
      <c r="A698" s="224"/>
      <c r="B698" s="224"/>
      <c r="C698" s="224"/>
      <c r="D698" s="224"/>
      <c r="E698" s="224"/>
      <c r="F698" s="224"/>
    </row>
    <row r="699" spans="1:6">
      <c r="A699" s="224"/>
      <c r="B699" s="224"/>
      <c r="C699" s="224"/>
      <c r="D699" s="224"/>
      <c r="E699" s="224"/>
      <c r="F699" s="224"/>
    </row>
    <row r="700" spans="1:6">
      <c r="A700" s="224"/>
      <c r="B700" s="224"/>
      <c r="C700" s="224"/>
      <c r="D700" s="224"/>
      <c r="E700" s="224"/>
      <c r="F700" s="224"/>
    </row>
    <row r="701" spans="1:6">
      <c r="A701" s="224"/>
      <c r="B701" s="224"/>
      <c r="C701" s="224"/>
      <c r="D701" s="224"/>
      <c r="E701" s="224"/>
      <c r="F701" s="224"/>
    </row>
    <row r="702" spans="1:6">
      <c r="A702" s="224"/>
      <c r="B702" s="224"/>
      <c r="C702" s="224"/>
      <c r="D702" s="224"/>
      <c r="E702" s="224"/>
      <c r="F702" s="224"/>
    </row>
    <row r="703" spans="1:6">
      <c r="A703" s="224"/>
      <c r="B703" s="224"/>
      <c r="C703" s="224"/>
      <c r="D703" s="224"/>
      <c r="E703" s="224"/>
      <c r="F703" s="224"/>
    </row>
    <row r="704" spans="1:6">
      <c r="A704" s="224"/>
      <c r="B704" s="224"/>
      <c r="C704" s="224"/>
      <c r="D704" s="224"/>
      <c r="E704" s="224"/>
      <c r="F704" s="224"/>
    </row>
    <row r="705" spans="1:6">
      <c r="A705" s="224"/>
      <c r="B705" s="224"/>
      <c r="C705" s="224"/>
      <c r="D705" s="224"/>
      <c r="E705" s="224"/>
      <c r="F705" s="224"/>
    </row>
    <row r="706" spans="1:6">
      <c r="A706" s="224"/>
      <c r="B706" s="224"/>
      <c r="C706" s="224"/>
      <c r="D706" s="224"/>
      <c r="E706" s="224"/>
      <c r="F706" s="224"/>
    </row>
    <row r="707" spans="1:6">
      <c r="A707" s="224"/>
      <c r="B707" s="224"/>
      <c r="C707" s="224"/>
      <c r="D707" s="224"/>
      <c r="E707" s="224"/>
      <c r="F707" s="224"/>
    </row>
    <row r="708" spans="1:6">
      <c r="A708" s="224"/>
      <c r="B708" s="224"/>
      <c r="C708" s="224"/>
      <c r="D708" s="224"/>
      <c r="E708" s="224"/>
      <c r="F708" s="224"/>
    </row>
    <row r="709" spans="1:6">
      <c r="A709" s="224"/>
      <c r="B709" s="224"/>
      <c r="C709" s="224"/>
      <c r="D709" s="224"/>
      <c r="E709" s="224"/>
      <c r="F709" s="224"/>
    </row>
    <row r="710" spans="1:6">
      <c r="A710" s="224"/>
      <c r="B710" s="224"/>
      <c r="C710" s="224"/>
      <c r="D710" s="224"/>
      <c r="E710" s="224"/>
      <c r="F710" s="224"/>
    </row>
    <row r="711" spans="1:6">
      <c r="A711" s="224"/>
      <c r="B711" s="224"/>
      <c r="C711" s="224"/>
      <c r="D711" s="224"/>
      <c r="E711" s="224"/>
      <c r="F711" s="224"/>
    </row>
    <row r="712" spans="1:6">
      <c r="A712" s="224"/>
      <c r="B712" s="224"/>
      <c r="C712" s="224"/>
      <c r="D712" s="224"/>
      <c r="E712" s="224"/>
      <c r="F712" s="224"/>
    </row>
    <row r="713" spans="1:6">
      <c r="A713" s="224"/>
      <c r="B713" s="224"/>
      <c r="C713" s="224"/>
      <c r="D713" s="224"/>
      <c r="E713" s="224"/>
      <c r="F713" s="224"/>
    </row>
    <row r="714" spans="1:6">
      <c r="A714" s="224"/>
      <c r="B714" s="224"/>
      <c r="C714" s="224"/>
      <c r="D714" s="224"/>
      <c r="E714" s="224"/>
      <c r="F714" s="224"/>
    </row>
    <row r="715" spans="1:6">
      <c r="A715" s="224"/>
      <c r="B715" s="224"/>
      <c r="C715" s="224"/>
      <c r="D715" s="224"/>
      <c r="E715" s="224"/>
      <c r="F715" s="224"/>
    </row>
    <row r="716" spans="1:6">
      <c r="A716" s="224"/>
      <c r="B716" s="224"/>
      <c r="C716" s="224"/>
      <c r="D716" s="224"/>
      <c r="E716" s="224"/>
      <c r="F716" s="224"/>
    </row>
    <row r="717" spans="1:6">
      <c r="A717" s="224"/>
      <c r="B717" s="224"/>
      <c r="C717" s="224"/>
      <c r="D717" s="224"/>
      <c r="E717" s="224"/>
      <c r="F717" s="224"/>
    </row>
    <row r="718" spans="1:6">
      <c r="A718" s="224"/>
      <c r="B718" s="224"/>
      <c r="C718" s="224"/>
      <c r="D718" s="224"/>
      <c r="E718" s="224"/>
      <c r="F718" s="224"/>
    </row>
    <row r="719" spans="1:6">
      <c r="A719" s="224"/>
      <c r="B719" s="224"/>
      <c r="C719" s="224"/>
      <c r="D719" s="224"/>
      <c r="E719" s="224"/>
      <c r="F719" s="224"/>
    </row>
    <row r="720" spans="1:6">
      <c r="A720" s="224"/>
      <c r="B720" s="224"/>
      <c r="C720" s="224"/>
      <c r="D720" s="224"/>
      <c r="E720" s="224"/>
      <c r="F720" s="224"/>
    </row>
    <row r="721" spans="1:6">
      <c r="A721" s="224"/>
      <c r="B721" s="224"/>
      <c r="C721" s="224"/>
      <c r="D721" s="224"/>
      <c r="E721" s="224"/>
      <c r="F721" s="224"/>
    </row>
    <row r="722" spans="1:6">
      <c r="A722" s="224"/>
      <c r="B722" s="224"/>
      <c r="C722" s="224"/>
      <c r="D722" s="224"/>
      <c r="E722" s="224"/>
      <c r="F722" s="224"/>
    </row>
    <row r="723" spans="1:6">
      <c r="A723" s="224"/>
      <c r="B723" s="224"/>
      <c r="C723" s="224"/>
      <c r="D723" s="224"/>
      <c r="E723" s="224"/>
      <c r="F723" s="224"/>
    </row>
    <row r="724" spans="1:6">
      <c r="A724" s="224"/>
      <c r="B724" s="224"/>
      <c r="C724" s="224"/>
      <c r="D724" s="224"/>
      <c r="E724" s="224"/>
      <c r="F724" s="224"/>
    </row>
    <row r="725" spans="1:6">
      <c r="A725" s="224"/>
      <c r="B725" s="224"/>
      <c r="C725" s="224"/>
      <c r="D725" s="224"/>
      <c r="E725" s="224"/>
      <c r="F725" s="224"/>
    </row>
    <row r="726" spans="1:6">
      <c r="A726" s="224"/>
      <c r="B726" s="224"/>
      <c r="C726" s="224"/>
      <c r="D726" s="224"/>
      <c r="E726" s="224"/>
      <c r="F726" s="224"/>
    </row>
    <row r="727" spans="1:6">
      <c r="A727" s="224"/>
      <c r="B727" s="224"/>
      <c r="C727" s="224"/>
      <c r="D727" s="224"/>
      <c r="E727" s="224"/>
      <c r="F727" s="224"/>
    </row>
    <row r="728" spans="1:6">
      <c r="A728" s="224"/>
      <c r="B728" s="224"/>
      <c r="C728" s="224"/>
      <c r="D728" s="224"/>
      <c r="E728" s="224"/>
      <c r="F728" s="224"/>
    </row>
    <row r="729" spans="1:6">
      <c r="A729" s="224"/>
      <c r="B729" s="224"/>
      <c r="C729" s="224"/>
      <c r="D729" s="224"/>
      <c r="E729" s="224"/>
      <c r="F729" s="224"/>
    </row>
    <row r="730" spans="1:6">
      <c r="A730" s="224"/>
      <c r="B730" s="224"/>
      <c r="C730" s="224"/>
      <c r="D730" s="224"/>
      <c r="E730" s="224"/>
      <c r="F730" s="224"/>
    </row>
    <row r="731" spans="1:6">
      <c r="A731" s="224"/>
      <c r="B731" s="224"/>
      <c r="C731" s="224"/>
      <c r="D731" s="224"/>
      <c r="E731" s="224"/>
      <c r="F731" s="224"/>
    </row>
    <row r="732" spans="1:6">
      <c r="A732" s="224"/>
      <c r="B732" s="224"/>
      <c r="C732" s="224"/>
      <c r="D732" s="224"/>
      <c r="E732" s="224"/>
      <c r="F732" s="224"/>
    </row>
    <row r="733" spans="1:6">
      <c r="A733" s="224"/>
      <c r="B733" s="224"/>
      <c r="C733" s="224"/>
      <c r="D733" s="224"/>
      <c r="E733" s="224"/>
      <c r="F733" s="224"/>
    </row>
    <row r="734" spans="1:6">
      <c r="A734" s="224"/>
      <c r="B734" s="224"/>
      <c r="C734" s="224"/>
      <c r="D734" s="224"/>
      <c r="E734" s="224"/>
      <c r="F734" s="224"/>
    </row>
    <row r="735" spans="1:6">
      <c r="A735" s="224"/>
      <c r="B735" s="224"/>
      <c r="C735" s="224"/>
      <c r="D735" s="224"/>
      <c r="E735" s="224"/>
      <c r="F735" s="224"/>
    </row>
    <row r="736" spans="1:6">
      <c r="A736" s="224"/>
      <c r="B736" s="224"/>
      <c r="C736" s="224"/>
      <c r="D736" s="224"/>
      <c r="E736" s="224"/>
      <c r="F736" s="224"/>
    </row>
    <row r="737" spans="1:6">
      <c r="A737" s="224"/>
      <c r="B737" s="224"/>
      <c r="C737" s="224"/>
      <c r="D737" s="224"/>
      <c r="E737" s="224"/>
      <c r="F737" s="224"/>
    </row>
    <row r="738" spans="1:6">
      <c r="A738" s="224"/>
      <c r="B738" s="224"/>
      <c r="C738" s="224"/>
      <c r="D738" s="224"/>
      <c r="E738" s="224"/>
      <c r="F738" s="224"/>
    </row>
    <row r="739" spans="1:6">
      <c r="A739" s="224"/>
      <c r="B739" s="224"/>
      <c r="C739" s="224"/>
      <c r="D739" s="224"/>
      <c r="E739" s="224"/>
      <c r="F739" s="224"/>
    </row>
    <row r="740" spans="1:6">
      <c r="A740" s="224"/>
      <c r="B740" s="224"/>
      <c r="C740" s="224"/>
      <c r="D740" s="224"/>
      <c r="E740" s="224"/>
      <c r="F740" s="224"/>
    </row>
    <row r="741" spans="1:6">
      <c r="A741" s="224"/>
      <c r="B741" s="224"/>
      <c r="C741" s="224"/>
      <c r="D741" s="224"/>
      <c r="E741" s="224"/>
      <c r="F741" s="224"/>
    </row>
    <row r="742" spans="1:6">
      <c r="A742" s="224"/>
      <c r="B742" s="224"/>
      <c r="C742" s="224"/>
      <c r="D742" s="224"/>
      <c r="E742" s="224"/>
      <c r="F742" s="224"/>
    </row>
    <row r="743" spans="1:6">
      <c r="A743" s="224"/>
      <c r="B743" s="224"/>
      <c r="C743" s="224"/>
      <c r="D743" s="224"/>
      <c r="E743" s="224"/>
      <c r="F743" s="224"/>
    </row>
    <row r="744" spans="1:6">
      <c r="A744" s="224"/>
      <c r="B744" s="224"/>
      <c r="C744" s="224"/>
      <c r="D744" s="224"/>
      <c r="E744" s="224"/>
      <c r="F744" s="224"/>
    </row>
    <row r="745" spans="1:6">
      <c r="A745" s="224"/>
      <c r="B745" s="224"/>
      <c r="C745" s="224"/>
      <c r="D745" s="224"/>
      <c r="E745" s="224"/>
      <c r="F745" s="224"/>
    </row>
    <row r="746" spans="1:6">
      <c r="A746" s="224"/>
      <c r="B746" s="224"/>
      <c r="C746" s="224"/>
      <c r="D746" s="224"/>
      <c r="E746" s="224"/>
      <c r="F746" s="224"/>
    </row>
    <row r="747" spans="1:6">
      <c r="A747" s="224"/>
      <c r="B747" s="224"/>
      <c r="C747" s="224"/>
      <c r="D747" s="224"/>
      <c r="E747" s="224"/>
      <c r="F747" s="224"/>
    </row>
    <row r="748" spans="1:6">
      <c r="A748" s="224"/>
      <c r="B748" s="224"/>
      <c r="C748" s="224"/>
      <c r="D748" s="224"/>
      <c r="E748" s="224"/>
      <c r="F748" s="224"/>
    </row>
    <row r="749" spans="1:6">
      <c r="A749" s="224"/>
      <c r="B749" s="224"/>
      <c r="C749" s="224"/>
      <c r="D749" s="224"/>
      <c r="E749" s="224"/>
      <c r="F749" s="224"/>
    </row>
    <row r="750" spans="1:6">
      <c r="A750" s="224"/>
      <c r="B750" s="224"/>
      <c r="C750" s="224"/>
      <c r="D750" s="224"/>
      <c r="E750" s="224"/>
      <c r="F750" s="224"/>
    </row>
    <row r="751" spans="1:6">
      <c r="A751" s="224"/>
      <c r="B751" s="224"/>
      <c r="C751" s="224"/>
      <c r="D751" s="224"/>
      <c r="E751" s="224"/>
      <c r="F751" s="224"/>
    </row>
    <row r="752" spans="1:6">
      <c r="A752" s="224"/>
      <c r="B752" s="224"/>
      <c r="C752" s="224"/>
      <c r="D752" s="224"/>
      <c r="E752" s="224"/>
      <c r="F752" s="224"/>
    </row>
    <row r="753" spans="1:6">
      <c r="A753" s="224"/>
      <c r="B753" s="224"/>
      <c r="C753" s="224"/>
      <c r="D753" s="224"/>
      <c r="E753" s="224"/>
      <c r="F753" s="224"/>
    </row>
    <row r="754" spans="1:6">
      <c r="A754" s="224"/>
      <c r="B754" s="224"/>
      <c r="C754" s="224"/>
      <c r="D754" s="224"/>
      <c r="E754" s="224"/>
      <c r="F754" s="224"/>
    </row>
    <row r="755" spans="1:6">
      <c r="A755" s="224"/>
      <c r="B755" s="224"/>
      <c r="C755" s="224"/>
      <c r="D755" s="224"/>
      <c r="E755" s="224"/>
      <c r="F755" s="224"/>
    </row>
    <row r="756" spans="1:6">
      <c r="A756" s="224"/>
      <c r="B756" s="224"/>
      <c r="C756" s="224"/>
      <c r="D756" s="224"/>
      <c r="E756" s="224"/>
      <c r="F756" s="224"/>
    </row>
    <row r="757" spans="1:6">
      <c r="A757" s="224"/>
      <c r="B757" s="224"/>
      <c r="C757" s="224"/>
      <c r="D757" s="224"/>
      <c r="E757" s="224"/>
      <c r="F757" s="224"/>
    </row>
    <row r="758" spans="1:6">
      <c r="A758" s="224"/>
      <c r="B758" s="224"/>
      <c r="C758" s="224"/>
      <c r="D758" s="224"/>
      <c r="E758" s="224"/>
      <c r="F758" s="224"/>
    </row>
    <row r="759" spans="1:6">
      <c r="A759" s="224"/>
      <c r="B759" s="224"/>
      <c r="C759" s="224"/>
      <c r="D759" s="224"/>
      <c r="E759" s="224"/>
      <c r="F759" s="224"/>
    </row>
    <row r="760" spans="1:6">
      <c r="A760" s="224"/>
      <c r="B760" s="224"/>
      <c r="C760" s="224"/>
      <c r="D760" s="224"/>
      <c r="E760" s="224"/>
      <c r="F760" s="224"/>
    </row>
    <row r="761" spans="1:6">
      <c r="A761" s="224"/>
      <c r="B761" s="224"/>
      <c r="C761" s="224"/>
      <c r="D761" s="224"/>
      <c r="E761" s="224"/>
      <c r="F761" s="224"/>
    </row>
    <row r="762" spans="1:6">
      <c r="A762" s="224"/>
      <c r="B762" s="224"/>
      <c r="C762" s="224"/>
      <c r="D762" s="224"/>
      <c r="E762" s="224"/>
      <c r="F762" s="224"/>
    </row>
    <row r="763" spans="1:6">
      <c r="A763" s="224"/>
      <c r="B763" s="224"/>
      <c r="C763" s="224"/>
      <c r="D763" s="224"/>
      <c r="E763" s="224"/>
      <c r="F763" s="224"/>
    </row>
    <row r="764" spans="1:6">
      <c r="A764" s="224"/>
      <c r="B764" s="224"/>
      <c r="C764" s="224"/>
      <c r="D764" s="224"/>
      <c r="E764" s="224"/>
      <c r="F764" s="224"/>
    </row>
    <row r="765" spans="1:6">
      <c r="A765" s="224"/>
      <c r="B765" s="224"/>
      <c r="C765" s="224"/>
      <c r="D765" s="224"/>
      <c r="E765" s="224"/>
      <c r="F765" s="224"/>
    </row>
    <row r="766" spans="1:6">
      <c r="A766" s="224"/>
      <c r="B766" s="224"/>
      <c r="C766" s="224"/>
      <c r="D766" s="224"/>
      <c r="E766" s="224"/>
      <c r="F766" s="224"/>
    </row>
    <row r="767" spans="1:6">
      <c r="A767" s="224"/>
      <c r="B767" s="224"/>
      <c r="C767" s="224"/>
      <c r="D767" s="224"/>
      <c r="E767" s="224"/>
      <c r="F767" s="224"/>
    </row>
    <row r="768" spans="1:6">
      <c r="A768" s="224"/>
      <c r="B768" s="224"/>
      <c r="C768" s="224"/>
      <c r="D768" s="224"/>
      <c r="E768" s="224"/>
      <c r="F768" s="224"/>
    </row>
    <row r="769" spans="1:6">
      <c r="A769" s="224"/>
      <c r="B769" s="224"/>
      <c r="C769" s="224"/>
      <c r="D769" s="224"/>
      <c r="E769" s="224"/>
      <c r="F769" s="224"/>
    </row>
    <row r="770" spans="1:6">
      <c r="A770" s="224"/>
      <c r="B770" s="224"/>
      <c r="C770" s="224"/>
      <c r="D770" s="224"/>
      <c r="E770" s="224"/>
      <c r="F770" s="224"/>
    </row>
    <row r="771" spans="1:6">
      <c r="A771" s="224"/>
      <c r="B771" s="224"/>
      <c r="C771" s="224"/>
      <c r="D771" s="224"/>
      <c r="E771" s="224"/>
      <c r="F771" s="224"/>
    </row>
    <row r="772" spans="1:6">
      <c r="A772" s="224"/>
      <c r="B772" s="224"/>
      <c r="C772" s="224"/>
      <c r="D772" s="224"/>
      <c r="E772" s="224"/>
      <c r="F772" s="224"/>
    </row>
    <row r="773" spans="1:6">
      <c r="A773" s="224"/>
      <c r="B773" s="224"/>
      <c r="C773" s="224"/>
      <c r="D773" s="224"/>
      <c r="E773" s="224"/>
      <c r="F773" s="224"/>
    </row>
    <row r="774" spans="1:6">
      <c r="A774" s="224"/>
      <c r="B774" s="224"/>
      <c r="C774" s="224"/>
      <c r="D774" s="224"/>
      <c r="E774" s="224"/>
      <c r="F774" s="224"/>
    </row>
    <row r="775" spans="1:6">
      <c r="A775" s="224"/>
      <c r="B775" s="224"/>
      <c r="C775" s="224"/>
      <c r="D775" s="224"/>
      <c r="E775" s="224"/>
      <c r="F775" s="224"/>
    </row>
    <row r="776" spans="1:6">
      <c r="A776" s="224"/>
      <c r="B776" s="224"/>
      <c r="C776" s="224"/>
      <c r="D776" s="224"/>
      <c r="E776" s="224"/>
      <c r="F776" s="224"/>
    </row>
    <row r="777" spans="1:6">
      <c r="A777" s="224"/>
      <c r="B777" s="224"/>
      <c r="C777" s="224"/>
      <c r="D777" s="224"/>
      <c r="E777" s="224"/>
      <c r="F777" s="224"/>
    </row>
    <row r="778" spans="1:6">
      <c r="A778" s="224"/>
      <c r="B778" s="224"/>
      <c r="C778" s="224"/>
      <c r="D778" s="224"/>
      <c r="E778" s="224"/>
      <c r="F778" s="224"/>
    </row>
    <row r="779" spans="1:6">
      <c r="A779" s="224"/>
      <c r="B779" s="224"/>
      <c r="C779" s="224"/>
      <c r="D779" s="224"/>
      <c r="E779" s="224"/>
      <c r="F779" s="224"/>
    </row>
    <row r="780" spans="1:6">
      <c r="A780" s="224"/>
      <c r="B780" s="224"/>
      <c r="C780" s="224"/>
      <c r="D780" s="224"/>
      <c r="E780" s="224"/>
      <c r="F780" s="224"/>
    </row>
    <row r="781" spans="1:6">
      <c r="A781" s="224"/>
      <c r="B781" s="224"/>
      <c r="C781" s="224"/>
      <c r="D781" s="224"/>
      <c r="E781" s="224"/>
      <c r="F781" s="224"/>
    </row>
    <row r="782" spans="1:6">
      <c r="A782" s="224"/>
      <c r="B782" s="224"/>
      <c r="C782" s="224"/>
      <c r="D782" s="224"/>
      <c r="E782" s="224"/>
      <c r="F782" s="224"/>
    </row>
    <row r="783" spans="1:6">
      <c r="A783" s="224"/>
      <c r="B783" s="224"/>
      <c r="C783" s="224"/>
      <c r="D783" s="224"/>
      <c r="E783" s="224"/>
      <c r="F783" s="224"/>
    </row>
    <row r="784" spans="1:6">
      <c r="A784" s="224"/>
      <c r="B784" s="224"/>
      <c r="C784" s="224"/>
      <c r="D784" s="224"/>
      <c r="E784" s="224"/>
      <c r="F784" s="224"/>
    </row>
    <row r="785" spans="1:6">
      <c r="A785" s="224"/>
      <c r="B785" s="224"/>
      <c r="C785" s="224"/>
      <c r="D785" s="224"/>
      <c r="E785" s="224"/>
      <c r="F785" s="224"/>
    </row>
    <row r="786" spans="1:6">
      <c r="A786" s="224"/>
      <c r="B786" s="224"/>
      <c r="C786" s="224"/>
      <c r="D786" s="224"/>
      <c r="E786" s="224"/>
      <c r="F786" s="224"/>
    </row>
    <row r="787" spans="1:6">
      <c r="A787" s="224"/>
      <c r="B787" s="224"/>
      <c r="C787" s="224"/>
      <c r="D787" s="224"/>
      <c r="E787" s="224"/>
      <c r="F787" s="224"/>
    </row>
    <row r="788" spans="1:6">
      <c r="A788" s="224"/>
      <c r="B788" s="224"/>
      <c r="C788" s="224"/>
      <c r="D788" s="224"/>
      <c r="E788" s="224"/>
      <c r="F788" s="224"/>
    </row>
    <row r="789" spans="1:6">
      <c r="A789" s="224"/>
      <c r="B789" s="224"/>
      <c r="C789" s="224"/>
      <c r="D789" s="224"/>
      <c r="E789" s="224"/>
      <c r="F789" s="224"/>
    </row>
    <row r="790" spans="1:6">
      <c r="A790" s="224"/>
      <c r="B790" s="224"/>
      <c r="C790" s="224"/>
      <c r="D790" s="224"/>
      <c r="E790" s="224"/>
      <c r="F790" s="224"/>
    </row>
    <row r="791" spans="1:6">
      <c r="A791" s="224"/>
      <c r="B791" s="224"/>
      <c r="C791" s="224"/>
      <c r="D791" s="224"/>
      <c r="E791" s="224"/>
      <c r="F791" s="224"/>
    </row>
    <row r="792" spans="1:6">
      <c r="A792" s="224"/>
      <c r="B792" s="224"/>
      <c r="C792" s="224"/>
      <c r="D792" s="224"/>
      <c r="E792" s="224"/>
      <c r="F792" s="224"/>
    </row>
    <row r="793" spans="1:6">
      <c r="A793" s="224"/>
      <c r="B793" s="224"/>
      <c r="C793" s="224"/>
      <c r="D793" s="224"/>
      <c r="E793" s="224"/>
      <c r="F793" s="224"/>
    </row>
    <row r="794" spans="1:6">
      <c r="A794" s="224"/>
      <c r="B794" s="224"/>
      <c r="C794" s="224"/>
      <c r="D794" s="224"/>
      <c r="E794" s="224"/>
      <c r="F794" s="224"/>
    </row>
    <row r="795" spans="1:6">
      <c r="A795" s="224"/>
      <c r="B795" s="224"/>
      <c r="C795" s="224"/>
      <c r="D795" s="224"/>
      <c r="E795" s="224"/>
      <c r="F795" s="224"/>
    </row>
    <row r="796" spans="1:6">
      <c r="A796" s="224"/>
      <c r="B796" s="224"/>
      <c r="C796" s="224"/>
      <c r="D796" s="224"/>
      <c r="E796" s="224"/>
      <c r="F796" s="224"/>
    </row>
    <row r="797" spans="1:6">
      <c r="A797" s="224"/>
      <c r="B797" s="224"/>
      <c r="C797" s="224"/>
      <c r="D797" s="224"/>
      <c r="E797" s="224"/>
      <c r="F797" s="224"/>
    </row>
    <row r="798" spans="1:6">
      <c r="A798" s="224"/>
      <c r="B798" s="224"/>
      <c r="C798" s="224"/>
      <c r="D798" s="224"/>
      <c r="E798" s="224"/>
      <c r="F798" s="224"/>
    </row>
    <row r="799" spans="1:6">
      <c r="A799" s="224"/>
      <c r="B799" s="224"/>
      <c r="C799" s="224"/>
      <c r="D799" s="224"/>
      <c r="E799" s="224"/>
      <c r="F799" s="224"/>
    </row>
    <row r="800" spans="1:6">
      <c r="A800" s="224"/>
      <c r="B800" s="224"/>
      <c r="C800" s="224"/>
      <c r="D800" s="224"/>
      <c r="E800" s="224"/>
      <c r="F800" s="224"/>
    </row>
    <row r="801" spans="1:6">
      <c r="A801" s="224"/>
      <c r="B801" s="224"/>
      <c r="C801" s="224"/>
      <c r="D801" s="224"/>
      <c r="E801" s="224"/>
      <c r="F801" s="224"/>
    </row>
    <row r="802" spans="1:6">
      <c r="A802" s="224"/>
      <c r="B802" s="224"/>
      <c r="C802" s="224"/>
      <c r="D802" s="224"/>
      <c r="E802" s="224"/>
      <c r="F802" s="224"/>
    </row>
    <row r="803" spans="1:6">
      <c r="A803" s="224"/>
      <c r="B803" s="224"/>
      <c r="C803" s="224"/>
      <c r="D803" s="224"/>
      <c r="E803" s="224"/>
      <c r="F803" s="224"/>
    </row>
    <row r="804" spans="1:6">
      <c r="A804" s="224"/>
      <c r="B804" s="224"/>
      <c r="C804" s="224"/>
      <c r="D804" s="224"/>
      <c r="E804" s="224"/>
      <c r="F804" s="224"/>
    </row>
    <row r="805" spans="1:6">
      <c r="A805" s="224"/>
      <c r="B805" s="224"/>
      <c r="C805" s="224"/>
      <c r="D805" s="224"/>
      <c r="E805" s="224"/>
      <c r="F805" s="224"/>
    </row>
    <row r="806" spans="1:6">
      <c r="A806" s="224"/>
      <c r="B806" s="224"/>
      <c r="C806" s="224"/>
      <c r="D806" s="224"/>
      <c r="E806" s="224"/>
      <c r="F806" s="224"/>
    </row>
    <row r="807" spans="1:6">
      <c r="A807" s="224"/>
      <c r="B807" s="224"/>
      <c r="C807" s="224"/>
      <c r="D807" s="224"/>
      <c r="E807" s="224"/>
      <c r="F807" s="224"/>
    </row>
    <row r="808" spans="1:6">
      <c r="A808" s="224"/>
      <c r="B808" s="224"/>
      <c r="C808" s="224"/>
      <c r="D808" s="224"/>
      <c r="E808" s="224"/>
      <c r="F808" s="224"/>
    </row>
    <row r="809" spans="1:6">
      <c r="A809" s="224"/>
      <c r="B809" s="224"/>
      <c r="C809" s="224"/>
      <c r="D809" s="224"/>
      <c r="E809" s="224"/>
      <c r="F809" s="224"/>
    </row>
    <row r="810" spans="1:6">
      <c r="A810" s="224"/>
      <c r="B810" s="224"/>
      <c r="C810" s="224"/>
      <c r="D810" s="224"/>
      <c r="E810" s="224"/>
      <c r="F810" s="224"/>
    </row>
    <row r="811" spans="1:6">
      <c r="A811" s="224"/>
      <c r="B811" s="224"/>
      <c r="C811" s="224"/>
      <c r="D811" s="224"/>
      <c r="E811" s="224"/>
      <c r="F811" s="224"/>
    </row>
    <row r="812" spans="1:6">
      <c r="A812" s="224"/>
      <c r="B812" s="224"/>
      <c r="C812" s="224"/>
      <c r="D812" s="224"/>
      <c r="E812" s="224"/>
      <c r="F812" s="224"/>
    </row>
    <row r="813" spans="1:6">
      <c r="A813" s="224"/>
      <c r="B813" s="224"/>
      <c r="C813" s="224"/>
      <c r="D813" s="224"/>
      <c r="E813" s="224"/>
      <c r="F813" s="224"/>
    </row>
    <row r="814" spans="1:6">
      <c r="A814" s="224"/>
      <c r="B814" s="224"/>
      <c r="C814" s="224"/>
      <c r="D814" s="224"/>
      <c r="E814" s="224"/>
      <c r="F814" s="224"/>
    </row>
    <row r="815" spans="1:6">
      <c r="A815" s="224"/>
      <c r="B815" s="224"/>
      <c r="C815" s="224"/>
      <c r="D815" s="224"/>
      <c r="E815" s="224"/>
      <c r="F815" s="224"/>
    </row>
    <row r="816" spans="1:6">
      <c r="A816" s="224"/>
      <c r="B816" s="224"/>
      <c r="C816" s="224"/>
      <c r="D816" s="224"/>
      <c r="E816" s="224"/>
      <c r="F816" s="224"/>
    </row>
    <row r="817" spans="1:6">
      <c r="A817" s="224"/>
      <c r="B817" s="224"/>
      <c r="C817" s="224"/>
      <c r="D817" s="224"/>
      <c r="E817" s="224"/>
      <c r="F817" s="224"/>
    </row>
    <row r="818" spans="1:6">
      <c r="A818" s="224"/>
      <c r="B818" s="224"/>
      <c r="C818" s="224"/>
      <c r="D818" s="224"/>
      <c r="E818" s="224"/>
      <c r="F818" s="224"/>
    </row>
    <row r="819" spans="1:6">
      <c r="A819" s="224"/>
      <c r="B819" s="224"/>
      <c r="C819" s="224"/>
      <c r="D819" s="224"/>
      <c r="E819" s="224"/>
      <c r="F819" s="224"/>
    </row>
    <row r="820" spans="1:6">
      <c r="A820" s="224"/>
      <c r="B820" s="224"/>
      <c r="C820" s="224"/>
      <c r="D820" s="224"/>
      <c r="E820" s="224"/>
      <c r="F820" s="224"/>
    </row>
    <row r="821" spans="1:6">
      <c r="A821" s="224"/>
      <c r="B821" s="224"/>
      <c r="C821" s="224"/>
      <c r="D821" s="224"/>
      <c r="E821" s="224"/>
      <c r="F821" s="224"/>
    </row>
    <row r="822" spans="1:6">
      <c r="A822" s="224"/>
      <c r="B822" s="224"/>
      <c r="C822" s="224"/>
      <c r="D822" s="224"/>
      <c r="E822" s="224"/>
      <c r="F822" s="224"/>
    </row>
    <row r="823" spans="1:6">
      <c r="A823" s="224"/>
      <c r="B823" s="224"/>
      <c r="C823" s="224"/>
      <c r="D823" s="224"/>
      <c r="E823" s="224"/>
      <c r="F823" s="224"/>
    </row>
    <row r="824" spans="1:6">
      <c r="A824" s="224"/>
      <c r="B824" s="224"/>
      <c r="C824" s="224"/>
      <c r="D824" s="224"/>
      <c r="E824" s="224"/>
      <c r="F824" s="224"/>
    </row>
    <row r="825" spans="1:6">
      <c r="A825" s="224"/>
      <c r="B825" s="224"/>
      <c r="C825" s="224"/>
      <c r="D825" s="224"/>
      <c r="E825" s="224"/>
      <c r="F825" s="224"/>
    </row>
    <row r="826" spans="1:6">
      <c r="A826" s="224"/>
      <c r="B826" s="224"/>
      <c r="C826" s="224"/>
      <c r="D826" s="224"/>
      <c r="E826" s="224"/>
      <c r="F826" s="224"/>
    </row>
    <row r="827" spans="1:6">
      <c r="A827" s="224"/>
      <c r="B827" s="224"/>
      <c r="C827" s="224"/>
      <c r="D827" s="224"/>
      <c r="E827" s="224"/>
      <c r="F827" s="224"/>
    </row>
    <row r="828" spans="1:6">
      <c r="A828" s="224"/>
      <c r="B828" s="224"/>
      <c r="C828" s="224"/>
      <c r="D828" s="224"/>
      <c r="E828" s="224"/>
      <c r="F828" s="224"/>
    </row>
    <row r="829" spans="1:6">
      <c r="A829" s="224"/>
      <c r="B829" s="224"/>
      <c r="C829" s="224"/>
      <c r="D829" s="224"/>
      <c r="E829" s="224"/>
      <c r="F829" s="224"/>
    </row>
    <row r="830" spans="1:6">
      <c r="A830" s="224"/>
      <c r="B830" s="224"/>
      <c r="C830" s="224"/>
      <c r="D830" s="224"/>
      <c r="E830" s="224"/>
      <c r="F830" s="224"/>
    </row>
    <row r="831" spans="1:6">
      <c r="A831" s="224"/>
      <c r="B831" s="224"/>
      <c r="C831" s="224"/>
      <c r="D831" s="224"/>
      <c r="E831" s="224"/>
      <c r="F831" s="224"/>
    </row>
    <row r="832" spans="1:6">
      <c r="A832" s="224"/>
      <c r="B832" s="224"/>
      <c r="C832" s="224"/>
      <c r="D832" s="224"/>
      <c r="E832" s="224"/>
      <c r="F832" s="224"/>
    </row>
    <row r="833" spans="1:6">
      <c r="A833" s="224"/>
      <c r="B833" s="224"/>
      <c r="C833" s="224"/>
      <c r="D833" s="224"/>
      <c r="E833" s="224"/>
      <c r="F833" s="224"/>
    </row>
    <row r="834" spans="1:6">
      <c r="A834" s="224"/>
      <c r="B834" s="224"/>
      <c r="C834" s="224"/>
      <c r="D834" s="224"/>
      <c r="E834" s="224"/>
      <c r="F834" s="224"/>
    </row>
    <row r="835" spans="1:6">
      <c r="A835" s="224"/>
      <c r="B835" s="224"/>
      <c r="C835" s="224"/>
      <c r="D835" s="224"/>
      <c r="E835" s="224"/>
      <c r="F835" s="224"/>
    </row>
    <row r="836" spans="1:6">
      <c r="A836" s="224"/>
      <c r="B836" s="224"/>
      <c r="C836" s="224"/>
      <c r="D836" s="224"/>
      <c r="E836" s="224"/>
      <c r="F836" s="224"/>
    </row>
    <row r="837" spans="1:6">
      <c r="A837" s="224"/>
      <c r="B837" s="224"/>
      <c r="C837" s="224"/>
      <c r="D837" s="224"/>
      <c r="E837" s="224"/>
      <c r="F837" s="224"/>
    </row>
    <row r="838" spans="1:6">
      <c r="A838" s="224"/>
      <c r="B838" s="224"/>
      <c r="C838" s="224"/>
      <c r="D838" s="224"/>
      <c r="E838" s="224"/>
      <c r="F838" s="224"/>
    </row>
    <row r="839" spans="1:6">
      <c r="A839" s="224"/>
      <c r="B839" s="224"/>
      <c r="C839" s="224"/>
      <c r="D839" s="224"/>
      <c r="E839" s="224"/>
      <c r="F839" s="224"/>
    </row>
    <row r="840" spans="1:6">
      <c r="A840" s="224"/>
      <c r="B840" s="224"/>
      <c r="C840" s="224"/>
      <c r="D840" s="224"/>
      <c r="E840" s="224"/>
      <c r="F840" s="224"/>
    </row>
    <row r="841" spans="1:6">
      <c r="A841" s="224"/>
      <c r="B841" s="224"/>
    </row>
    <row r="842" spans="1:6">
      <c r="A842" s="224"/>
      <c r="B842" s="224"/>
    </row>
    <row r="843" spans="1:6">
      <c r="A843" s="224"/>
      <c r="B843" s="224"/>
    </row>
    <row r="844" spans="1:6">
      <c r="A844" s="224"/>
      <c r="B844" s="224"/>
    </row>
    <row r="845" spans="1:6">
      <c r="A845" s="224"/>
      <c r="B845" s="224"/>
    </row>
    <row r="846" spans="1:6">
      <c r="A846" s="224"/>
      <c r="B846" s="224"/>
    </row>
    <row r="847" spans="1:6">
      <c r="A847" s="224"/>
      <c r="B847" s="224"/>
    </row>
    <row r="848" spans="1:6">
      <c r="A848" s="224"/>
      <c r="B848" s="224"/>
    </row>
    <row r="849" spans="1:2">
      <c r="A849" s="224"/>
      <c r="B849" s="224"/>
    </row>
    <row r="850" spans="1:2">
      <c r="A850" s="224"/>
      <c r="B850" s="224"/>
    </row>
    <row r="851" spans="1:2">
      <c r="A851" s="224"/>
      <c r="B851" s="224"/>
    </row>
    <row r="852" spans="1:2">
      <c r="A852" s="224"/>
      <c r="B852" s="224"/>
    </row>
    <row r="853" spans="1:2">
      <c r="A853" s="224"/>
      <c r="B853" s="224"/>
    </row>
    <row r="854" spans="1:2">
      <c r="A854" s="224"/>
      <c r="B854" s="224"/>
    </row>
    <row r="855" spans="1:2">
      <c r="A855" s="224"/>
      <c r="B855" s="224"/>
    </row>
    <row r="856" spans="1:2">
      <c r="A856" s="224"/>
      <c r="B856" s="224"/>
    </row>
    <row r="857" spans="1:2">
      <c r="A857" s="224"/>
      <c r="B857" s="224"/>
    </row>
    <row r="858" spans="1:2">
      <c r="A858" s="224"/>
      <c r="B858" s="224"/>
    </row>
    <row r="859" spans="1:2">
      <c r="A859" s="224"/>
      <c r="B859" s="224"/>
    </row>
    <row r="860" spans="1:2">
      <c r="A860" s="224"/>
      <c r="B860" s="224"/>
    </row>
    <row r="861" spans="1:2">
      <c r="A861" s="224"/>
      <c r="B861" s="224"/>
    </row>
    <row r="862" spans="1:2">
      <c r="A862" s="224"/>
      <c r="B862" s="224"/>
    </row>
    <row r="863" spans="1:2">
      <c r="A863" s="224"/>
      <c r="B863" s="224"/>
    </row>
    <row r="864" spans="1:2">
      <c r="A864" s="224"/>
      <c r="B864" s="224"/>
    </row>
    <row r="865" spans="1:2">
      <c r="A865" s="224"/>
      <c r="B865" s="224"/>
    </row>
    <row r="866" spans="1:2">
      <c r="A866" s="224"/>
      <c r="B866" s="224"/>
    </row>
    <row r="867" spans="1:2">
      <c r="A867" s="224"/>
      <c r="B867" s="224"/>
    </row>
    <row r="868" spans="1:2">
      <c r="A868" s="224"/>
      <c r="B868" s="224"/>
    </row>
    <row r="869" spans="1:2">
      <c r="A869" s="224"/>
      <c r="B869" s="224"/>
    </row>
    <row r="870" spans="1:2">
      <c r="A870" s="224"/>
      <c r="B870" s="224"/>
    </row>
    <row r="871" spans="1:2">
      <c r="A871" s="224"/>
      <c r="B871" s="224"/>
    </row>
    <row r="872" spans="1:2">
      <c r="A872" s="224"/>
      <c r="B872" s="224"/>
    </row>
    <row r="873" spans="1:2">
      <c r="A873" s="224"/>
      <c r="B873" s="224"/>
    </row>
    <row r="874" spans="1:2">
      <c r="A874" s="224"/>
      <c r="B874" s="224"/>
    </row>
    <row r="875" spans="1:2">
      <c r="A875" s="224"/>
      <c r="B875" s="224"/>
    </row>
  </sheetData>
  <sheetProtection selectLockedCells="1" selectUnlockedCells="1"/>
  <dataConsolidate/>
  <mergeCells count="210">
    <mergeCell ref="AA24:AB24"/>
    <mergeCell ref="E3:E5"/>
    <mergeCell ref="B3:B5"/>
    <mergeCell ref="C3:C5"/>
    <mergeCell ref="AA16:AB16"/>
    <mergeCell ref="AA17:AB17"/>
    <mergeCell ref="AA18:AB18"/>
    <mergeCell ref="AA19:AB19"/>
    <mergeCell ref="AA20:AB20"/>
    <mergeCell ref="P16:T16"/>
    <mergeCell ref="P17:T17"/>
    <mergeCell ref="P18:T18"/>
    <mergeCell ref="P19:T19"/>
    <mergeCell ref="P20:T20"/>
    <mergeCell ref="U17:V17"/>
    <mergeCell ref="U18:V18"/>
    <mergeCell ref="U19:V19"/>
    <mergeCell ref="U20:V20"/>
    <mergeCell ref="U16:V16"/>
    <mergeCell ref="K20:L20"/>
    <mergeCell ref="G3:AB4"/>
    <mergeCell ref="G7:I7"/>
    <mergeCell ref="Z7:AB7"/>
    <mergeCell ref="G8:AB8"/>
    <mergeCell ref="AA29:AB29"/>
    <mergeCell ref="Y39:Z39"/>
    <mergeCell ref="Y40:Z40"/>
    <mergeCell ref="K9:L9"/>
    <mergeCell ref="W28:Y28"/>
    <mergeCell ref="AA28:AB28"/>
    <mergeCell ref="K22:L22"/>
    <mergeCell ref="M22:N22"/>
    <mergeCell ref="P22:T22"/>
    <mergeCell ref="U22:V22"/>
    <mergeCell ref="W22:Y22"/>
    <mergeCell ref="AA22:AB22"/>
    <mergeCell ref="K23:L23"/>
    <mergeCell ref="K24:L24"/>
    <mergeCell ref="M24:N24"/>
    <mergeCell ref="K26:L26"/>
    <mergeCell ref="M26:N26"/>
    <mergeCell ref="P26:T26"/>
    <mergeCell ref="U26:V26"/>
    <mergeCell ref="M23:N23"/>
    <mergeCell ref="AA26:AB26"/>
    <mergeCell ref="P24:T24"/>
    <mergeCell ref="K27:L27"/>
    <mergeCell ref="M27:N27"/>
    <mergeCell ref="AA39:AB39"/>
    <mergeCell ref="AA40:AB40"/>
    <mergeCell ref="V39:X39"/>
    <mergeCell ref="V40:X40"/>
    <mergeCell ref="AA38:AB38"/>
    <mergeCell ref="P38:T38"/>
    <mergeCell ref="W38:Y38"/>
    <mergeCell ref="AA36:AB36"/>
    <mergeCell ref="Q39:S39"/>
    <mergeCell ref="Q40:S40"/>
    <mergeCell ref="T39:U39"/>
    <mergeCell ref="T40:U40"/>
    <mergeCell ref="K35:L35"/>
    <mergeCell ref="P35:T35"/>
    <mergeCell ref="P36:T36"/>
    <mergeCell ref="P37:T37"/>
    <mergeCell ref="W35:Y35"/>
    <mergeCell ref="W36:Y36"/>
    <mergeCell ref="W37:Y37"/>
    <mergeCell ref="AA37:AB37"/>
    <mergeCell ref="K36:L36"/>
    <mergeCell ref="K37:L37"/>
    <mergeCell ref="U36:V36"/>
    <mergeCell ref="U37:V37"/>
    <mergeCell ref="AA35:AB35"/>
    <mergeCell ref="U35:V35"/>
    <mergeCell ref="M35:N35"/>
    <mergeCell ref="K38:L38"/>
    <mergeCell ref="M38:N38"/>
    <mergeCell ref="M36:N36"/>
    <mergeCell ref="M37:N37"/>
    <mergeCell ref="G39:H39"/>
    <mergeCell ref="G40:H40"/>
    <mergeCell ref="K40:N40"/>
    <mergeCell ref="K39:N39"/>
    <mergeCell ref="O39:P39"/>
    <mergeCell ref="O40:P40"/>
    <mergeCell ref="K34:L34"/>
    <mergeCell ref="P34:T34"/>
    <mergeCell ref="W30:Y30"/>
    <mergeCell ref="W31:Y31"/>
    <mergeCell ref="W34:Y34"/>
    <mergeCell ref="AA31:AB31"/>
    <mergeCell ref="AA30:AB30"/>
    <mergeCell ref="AA32:AB32"/>
    <mergeCell ref="W33:Y33"/>
    <mergeCell ref="AA33:AB33"/>
    <mergeCell ref="U34:V34"/>
    <mergeCell ref="P33:T33"/>
    <mergeCell ref="U33:V33"/>
    <mergeCell ref="U31:V31"/>
    <mergeCell ref="P31:T31"/>
    <mergeCell ref="K33:L33"/>
    <mergeCell ref="M33:N33"/>
    <mergeCell ref="M31:N31"/>
    <mergeCell ref="K31:L31"/>
    <mergeCell ref="W32:Y32"/>
    <mergeCell ref="M34:N34"/>
    <mergeCell ref="U32:V32"/>
    <mergeCell ref="AA34:AB34"/>
    <mergeCell ref="AA25:AB25"/>
    <mergeCell ref="W27:Y27"/>
    <mergeCell ref="AA27:AB27"/>
    <mergeCell ref="P23:T23"/>
    <mergeCell ref="U23:V23"/>
    <mergeCell ref="W23:Y23"/>
    <mergeCell ref="AA23:AB23"/>
    <mergeCell ref="AA21:AB21"/>
    <mergeCell ref="K28:L28"/>
    <mergeCell ref="P27:T27"/>
    <mergeCell ref="U27:V27"/>
    <mergeCell ref="P28:T28"/>
    <mergeCell ref="U28:V28"/>
    <mergeCell ref="P21:T21"/>
    <mergeCell ref="U21:V21"/>
    <mergeCell ref="K25:L25"/>
    <mergeCell ref="M25:N25"/>
    <mergeCell ref="P25:T25"/>
    <mergeCell ref="U25:V25"/>
    <mergeCell ref="K21:L21"/>
    <mergeCell ref="M21:N21"/>
    <mergeCell ref="W26:Y26"/>
    <mergeCell ref="U24:V24"/>
    <mergeCell ref="W24:Y24"/>
    <mergeCell ref="W9:Y9"/>
    <mergeCell ref="P9:T9"/>
    <mergeCell ref="M9:N9"/>
    <mergeCell ref="Z5:AB5"/>
    <mergeCell ref="U7:Y7"/>
    <mergeCell ref="R7:T7"/>
    <mergeCell ref="O7:Q7"/>
    <mergeCell ref="J7:N7"/>
    <mergeCell ref="J6:AB6"/>
    <mergeCell ref="AA9:AB9"/>
    <mergeCell ref="AA10:AB10"/>
    <mergeCell ref="AA14:AB14"/>
    <mergeCell ref="AA15:AB15"/>
    <mergeCell ref="W13:Y13"/>
    <mergeCell ref="U11:V11"/>
    <mergeCell ref="U12:V12"/>
    <mergeCell ref="U13:V13"/>
    <mergeCell ref="U14:V14"/>
    <mergeCell ref="AA11:AB11"/>
    <mergeCell ref="AA12:AB12"/>
    <mergeCell ref="AA13:AB13"/>
    <mergeCell ref="W10:Y10"/>
    <mergeCell ref="U10:V10"/>
    <mergeCell ref="W11:Y11"/>
    <mergeCell ref="W12:Y12"/>
    <mergeCell ref="P15:T15"/>
    <mergeCell ref="U15:V15"/>
    <mergeCell ref="W14:Y14"/>
    <mergeCell ref="W15:Y15"/>
    <mergeCell ref="K17:L17"/>
    <mergeCell ref="K18:L18"/>
    <mergeCell ref="K10:L10"/>
    <mergeCell ref="K11:L11"/>
    <mergeCell ref="K12:L12"/>
    <mergeCell ref="K13:L13"/>
    <mergeCell ref="K14:L14"/>
    <mergeCell ref="M10:N10"/>
    <mergeCell ref="M11:N11"/>
    <mergeCell ref="M12:N12"/>
    <mergeCell ref="M13:N13"/>
    <mergeCell ref="M14:N14"/>
    <mergeCell ref="W16:Y16"/>
    <mergeCell ref="W17:Y17"/>
    <mergeCell ref="W18:Y18"/>
    <mergeCell ref="H6:I6"/>
    <mergeCell ref="M15:N15"/>
    <mergeCell ref="M16:N16"/>
    <mergeCell ref="M17:N17"/>
    <mergeCell ref="M18:N18"/>
    <mergeCell ref="M28:N28"/>
    <mergeCell ref="K15:L15"/>
    <mergeCell ref="K16:L16"/>
    <mergeCell ref="U38:V38"/>
    <mergeCell ref="P10:T10"/>
    <mergeCell ref="P11:T11"/>
    <mergeCell ref="P12:T12"/>
    <mergeCell ref="P13:T13"/>
    <mergeCell ref="P14:T14"/>
    <mergeCell ref="U9:V9"/>
    <mergeCell ref="M19:N19"/>
    <mergeCell ref="M20:N20"/>
    <mergeCell ref="M30:N30"/>
    <mergeCell ref="K19:L19"/>
    <mergeCell ref="K29:L29"/>
    <mergeCell ref="K30:L30"/>
    <mergeCell ref="P29:T29"/>
    <mergeCell ref="P30:T30"/>
    <mergeCell ref="U29:V29"/>
    <mergeCell ref="W19:Y19"/>
    <mergeCell ref="W20:Y20"/>
    <mergeCell ref="W21:Y21"/>
    <mergeCell ref="W29:Y29"/>
    <mergeCell ref="K32:L32"/>
    <mergeCell ref="M32:N32"/>
    <mergeCell ref="P32:T32"/>
    <mergeCell ref="W25:Y25"/>
    <mergeCell ref="U30:V30"/>
    <mergeCell ref="M29:N29"/>
  </mergeCells>
  <phoneticPr fontId="9" type="noConversion"/>
  <conditionalFormatting sqref="O9:O10 J9:J10 U9:U10 H9:I9">
    <cfRule type="expression" dxfId="6" priority="24" stopIfTrue="1">
      <formula>IF(H9="自定义→",TRUE,FALSE)</formula>
    </cfRule>
    <cfRule type="expression" dxfId="5" priority="25" stopIfTrue="1">
      <formula>IF(H9="标准轿厢，总单已包含",TRUE,FALSE)</formula>
    </cfRule>
  </conditionalFormatting>
  <conditionalFormatting sqref="U9:U10">
    <cfRule type="expression" dxfId="4" priority="22" stopIfTrue="1">
      <formula>IF(G9="自定义→",TRUE,FALSE)</formula>
    </cfRule>
  </conditionalFormatting>
  <conditionalFormatting sqref="AA9:AA10">
    <cfRule type="expression" dxfId="3" priority="20" stopIfTrue="1">
      <formula>IF(U9="自定义→",TRUE,FALSE)</formula>
    </cfRule>
  </conditionalFormatting>
  <conditionalFormatting sqref="AB9:AB10">
    <cfRule type="expression" dxfId="2" priority="44" stopIfTrue="1">
      <formula>IF(W9="自定义→",TRUE,FALSE)</formula>
    </cfRule>
  </conditionalFormatting>
  <conditionalFormatting sqref="AD11:AD12 AD39">
    <cfRule type="containsBlanks" dxfId="1" priority="8">
      <formula>LEN(TRIM(AD11))=0</formula>
    </cfRule>
  </conditionalFormatting>
  <conditionalFormatting sqref="AD13:AD38">
    <cfRule type="containsBlanks" dxfId="0" priority="1">
      <formula>LEN(TRIM(AD13))=0</formula>
    </cfRule>
  </conditionalFormatting>
  <dataValidations count="2">
    <dataValidation type="list" allowBlank="1" showInputMessage="1" showErrorMessage="1" sqref="JU65548 Z983052 Z917516 Z851980 Z786444 Z720908 Z655372 Z589836 Z524300 Z458764 Z393228 Z327692 Z262156 Z196620 Z131084 Z65548 WMK7 WCO7 VSS7 VIW7 UZA7 UPE7 UFI7 TVM7 TLQ7 TBU7 SRY7 SIC7 RYG7 ROK7 REO7 QUS7 QKW7 QBA7 PRE7 PHI7 OXM7 ONQ7 ODU7 NTY7 NKC7 NAG7 MQK7 MGO7 LWS7 LMW7 LDA7 KTE7 KJI7 JZM7 JPQ7 JFU7 IVY7 IMC7 ICG7 HSK7 HIO7 GYS7 GOW7 GFA7 FVE7 FLI7 FBM7 ERQ7 EHU7 DXY7 DOC7 DEG7 CUK7 CKO7 CAS7 BQW7 BHA7 AXE7 ANI7 ADM7 TQ7 JU7 WWG7 TQ65548 WWG983052 WMK983052 WCO983052 VSS983052 VIW983052 UZA983052 UPE983052 UFI983052 TVM983052 TLQ983052 TBU983052 SRY983052 SIC983052 RYG983052 ROK983052 REO983052 QUS983052 QKW983052 QBA983052 PRE983052 PHI983052 OXM983052 ONQ983052 ODU983052 NTY983052 NKC983052 NAG983052 MQK983052 MGO983052 LWS983052 LMW983052 LDA983052 KTE983052 KJI983052 JZM983052 JPQ983052 JFU983052 IVY983052 IMC983052 ICG983052 HSK983052 HIO983052 GYS983052 GOW983052 GFA983052 FVE983052 FLI983052 FBM983052 ERQ983052 EHU983052 DXY983052 DOC983052 DEG983052 CUK983052 CKO983052 CAS983052 BQW983052 BHA983052 AXE983052 ANI983052 ADM983052 TQ983052 JU983052 WWG917516 WMK917516 WCO917516 VSS917516 VIW917516 UZA917516 UPE917516 UFI917516 TVM917516 TLQ917516 TBU917516 SRY917516 SIC917516 RYG917516 ROK917516 REO917516 QUS917516 QKW917516 QBA917516 PRE917516 PHI917516 OXM917516 ONQ917516 ODU917516 NTY917516 NKC917516 NAG917516 MQK917516 MGO917516 LWS917516 LMW917516 LDA917516 KTE917516 KJI917516 JZM917516 JPQ917516 JFU917516 IVY917516 IMC917516 ICG917516 HSK917516 HIO917516 GYS917516 GOW917516 GFA917516 FVE917516 FLI917516 FBM917516 ERQ917516 EHU917516 DXY917516 DOC917516 DEG917516 CUK917516 CKO917516 CAS917516 BQW917516 BHA917516 AXE917516 ANI917516 ADM917516 TQ917516 JU917516 WWG851980 WMK851980 WCO851980 VSS851980 VIW851980 UZA851980 UPE851980 UFI851980 TVM851980 TLQ851980 TBU851980 SRY851980 SIC851980 RYG851980 ROK851980 REO851980 QUS851980 QKW851980 QBA851980 PRE851980 PHI851980 OXM851980 ONQ851980 ODU851980 NTY851980 NKC851980 NAG851980 MQK851980 MGO851980 LWS851980 LMW851980 LDA851980 KTE851980 KJI851980 JZM851980 JPQ851980 JFU851980 IVY851980 IMC851980 ICG851980 HSK851980 HIO851980 GYS851980 GOW851980 GFA851980 FVE851980 FLI851980 FBM851980 ERQ851980 EHU851980 DXY851980 DOC851980 DEG851980 CUK851980 CKO851980 CAS851980 BQW851980 BHA851980 AXE851980 ANI851980 ADM851980 TQ851980 JU851980 WWG786444 WMK786444 WCO786444 VSS786444 VIW786444 UZA786444 UPE786444 UFI786444 TVM786444 TLQ786444 TBU786444 SRY786444 SIC786444 RYG786444 ROK786444 REO786444 QUS786444 QKW786444 QBA786444 PRE786444 PHI786444 OXM786444 ONQ786444 ODU786444 NTY786444 NKC786444 NAG786444 MQK786444 MGO786444 LWS786444 LMW786444 LDA786444 KTE786444 KJI786444 JZM786444 JPQ786444 JFU786444 IVY786444 IMC786444 ICG786444 HSK786444 HIO786444 GYS786444 GOW786444 GFA786444 FVE786444 FLI786444 FBM786444 ERQ786444 EHU786444 DXY786444 DOC786444 DEG786444 CUK786444 CKO786444 CAS786444 BQW786444 BHA786444 AXE786444 ANI786444 ADM786444 TQ786444 JU786444 WWG720908 WMK720908 WCO720908 VSS720908 VIW720908 UZA720908 UPE720908 UFI720908 TVM720908 TLQ720908 TBU720908 SRY720908 SIC720908 RYG720908 ROK720908 REO720908 QUS720908 QKW720908 QBA720908 PRE720908 PHI720908 OXM720908 ONQ720908 ODU720908 NTY720908 NKC720908 NAG720908 MQK720908 MGO720908 LWS720908 LMW720908 LDA720908 KTE720908 KJI720908 JZM720908 JPQ720908 JFU720908 IVY720908 IMC720908 ICG720908 HSK720908 HIO720908 GYS720908 GOW720908 GFA720908 FVE720908 FLI720908 FBM720908 ERQ720908 EHU720908 DXY720908 DOC720908 DEG720908 CUK720908 CKO720908 CAS720908 BQW720908 BHA720908 AXE720908 ANI720908 ADM720908 TQ720908 JU720908 WWG655372 WMK655372 WCO655372 VSS655372 VIW655372 UZA655372 UPE655372 UFI655372 TVM655372 TLQ655372 TBU655372 SRY655372 SIC655372 RYG655372 ROK655372 REO655372 QUS655372 QKW655372 QBA655372 PRE655372 PHI655372 OXM655372 ONQ655372 ODU655372 NTY655372 NKC655372 NAG655372 MQK655372 MGO655372 LWS655372 LMW655372 LDA655372 KTE655372 KJI655372 JZM655372 JPQ655372 JFU655372 IVY655372 IMC655372 ICG655372 HSK655372 HIO655372 GYS655372 GOW655372 GFA655372 FVE655372 FLI655372 FBM655372 ERQ655372 EHU655372 DXY655372 DOC655372 DEG655372 CUK655372 CKO655372 CAS655372 BQW655372 BHA655372 AXE655372 ANI655372 ADM655372 TQ655372 JU655372 WWG589836 WMK589836 WCO589836 VSS589836 VIW589836 UZA589836 UPE589836 UFI589836 TVM589836 TLQ589836 TBU589836 SRY589836 SIC589836 RYG589836 ROK589836 REO589836 QUS589836 QKW589836 QBA589836 PRE589836 PHI589836 OXM589836 ONQ589836 ODU589836 NTY589836 NKC589836 NAG589836 MQK589836 MGO589836 LWS589836 LMW589836 LDA589836 KTE589836 KJI589836 JZM589836 JPQ589836 JFU589836 IVY589836 IMC589836 ICG589836 HSK589836 HIO589836 GYS589836 GOW589836 GFA589836 FVE589836 FLI589836 FBM589836 ERQ589836 EHU589836 DXY589836 DOC589836 DEG589836 CUK589836 CKO589836 CAS589836 BQW589836 BHA589836 AXE589836 ANI589836 ADM589836 TQ589836 JU589836 WWG524300 WMK524300 WCO524300 VSS524300 VIW524300 UZA524300 UPE524300 UFI524300 TVM524300 TLQ524300 TBU524300 SRY524300 SIC524300 RYG524300 ROK524300 REO524300 QUS524300 QKW524300 QBA524300 PRE524300 PHI524300 OXM524300 ONQ524300 ODU524300 NTY524300 NKC524300 NAG524300 MQK524300 MGO524300 LWS524300 LMW524300 LDA524300 KTE524300 KJI524300 JZM524300 JPQ524300 JFU524300 IVY524300 IMC524300 ICG524300 HSK524300 HIO524300 GYS524300 GOW524300 GFA524300 FVE524300 FLI524300 FBM524300 ERQ524300 EHU524300 DXY524300 DOC524300 DEG524300 CUK524300 CKO524300 CAS524300 BQW524300 BHA524300 AXE524300 ANI524300 ADM524300 TQ524300 JU524300 WWG458764 WMK458764 WCO458764 VSS458764 VIW458764 UZA458764 UPE458764 UFI458764 TVM458764 TLQ458764 TBU458764 SRY458764 SIC458764 RYG458764 ROK458764 REO458764 QUS458764 QKW458764 QBA458764 PRE458764 PHI458764 OXM458764 ONQ458764 ODU458764 NTY458764 NKC458764 NAG458764 MQK458764 MGO458764 LWS458764 LMW458764 LDA458764 KTE458764 KJI458764 JZM458764 JPQ458764 JFU458764 IVY458764 IMC458764 ICG458764 HSK458764 HIO458764 GYS458764 GOW458764 GFA458764 FVE458764 FLI458764 FBM458764 ERQ458764 EHU458764 DXY458764 DOC458764 DEG458764 CUK458764 CKO458764 CAS458764 BQW458764 BHA458764 AXE458764 ANI458764 ADM458764 TQ458764 JU458764 WWG393228 WMK393228 WCO393228 VSS393228 VIW393228 UZA393228 UPE393228 UFI393228 TVM393228 TLQ393228 TBU393228 SRY393228 SIC393228 RYG393228 ROK393228 REO393228 QUS393228 QKW393228 QBA393228 PRE393228 PHI393228 OXM393228 ONQ393228 ODU393228 NTY393228 NKC393228 NAG393228 MQK393228 MGO393228 LWS393228 LMW393228 LDA393228 KTE393228 KJI393228 JZM393228 JPQ393228 JFU393228 IVY393228 IMC393228 ICG393228 HSK393228 HIO393228 GYS393228 GOW393228 GFA393228 FVE393228 FLI393228 FBM393228 ERQ393228 EHU393228 DXY393228 DOC393228 DEG393228 CUK393228 CKO393228 CAS393228 BQW393228 BHA393228 AXE393228 ANI393228 ADM393228 TQ393228 JU393228 WWG327692 WMK327692 WCO327692 VSS327692 VIW327692 UZA327692 UPE327692 UFI327692 TVM327692 TLQ327692 TBU327692 SRY327692 SIC327692 RYG327692 ROK327692 REO327692 QUS327692 QKW327692 QBA327692 PRE327692 PHI327692 OXM327692 ONQ327692 ODU327692 NTY327692 NKC327692 NAG327692 MQK327692 MGO327692 LWS327692 LMW327692 LDA327692 KTE327692 KJI327692 JZM327692 JPQ327692 JFU327692 IVY327692 IMC327692 ICG327692 HSK327692 HIO327692 GYS327692 GOW327692 GFA327692 FVE327692 FLI327692 FBM327692 ERQ327692 EHU327692 DXY327692 DOC327692 DEG327692 CUK327692 CKO327692 CAS327692 BQW327692 BHA327692 AXE327692 ANI327692 ADM327692 TQ327692 JU327692 WWG262156 WMK262156 WCO262156 VSS262156 VIW262156 UZA262156 UPE262156 UFI262156 TVM262156 TLQ262156 TBU262156 SRY262156 SIC262156 RYG262156 ROK262156 REO262156 QUS262156 QKW262156 QBA262156 PRE262156 PHI262156 OXM262156 ONQ262156 ODU262156 NTY262156 NKC262156 NAG262156 MQK262156 MGO262156 LWS262156 LMW262156 LDA262156 KTE262156 KJI262156 JZM262156 JPQ262156 JFU262156 IVY262156 IMC262156 ICG262156 HSK262156 HIO262156 GYS262156 GOW262156 GFA262156 FVE262156 FLI262156 FBM262156 ERQ262156 EHU262156 DXY262156 DOC262156 DEG262156 CUK262156 CKO262156 CAS262156 BQW262156 BHA262156 AXE262156 ANI262156 ADM262156 TQ262156 JU262156 WWG196620 WMK196620 WCO196620 VSS196620 VIW196620 UZA196620 UPE196620 UFI196620 TVM196620 TLQ196620 TBU196620 SRY196620 SIC196620 RYG196620 ROK196620 REO196620 QUS196620 QKW196620 QBA196620 PRE196620 PHI196620 OXM196620 ONQ196620 ODU196620 NTY196620 NKC196620 NAG196620 MQK196620 MGO196620 LWS196620 LMW196620 LDA196620 KTE196620 KJI196620 JZM196620 JPQ196620 JFU196620 IVY196620 IMC196620 ICG196620 HSK196620 HIO196620 GYS196620 GOW196620 GFA196620 FVE196620 FLI196620 FBM196620 ERQ196620 EHU196620 DXY196620 DOC196620 DEG196620 CUK196620 CKO196620 CAS196620 BQW196620 BHA196620 AXE196620 ANI196620 ADM196620 TQ196620 JU196620 WWG131084 WMK131084 WCO131084 VSS131084 VIW131084 UZA131084 UPE131084 UFI131084 TVM131084 TLQ131084 TBU131084 SRY131084 SIC131084 RYG131084 ROK131084 REO131084 QUS131084 QKW131084 QBA131084 PRE131084 PHI131084 OXM131084 ONQ131084 ODU131084 NTY131084 NKC131084 NAG131084 MQK131084 MGO131084 LWS131084 LMW131084 LDA131084 KTE131084 KJI131084 JZM131084 JPQ131084 JFU131084 IVY131084 IMC131084 ICG131084 HSK131084 HIO131084 GYS131084 GOW131084 GFA131084 FVE131084 FLI131084 FBM131084 ERQ131084 EHU131084 DXY131084 DOC131084 DEG131084 CUK131084 CKO131084 CAS131084 BQW131084 BHA131084 AXE131084 ANI131084 ADM131084 TQ131084 JU131084 WWG65548 WMK65548 WCO65548 VSS65548 VIW65548 UZA65548 UPE65548 UFI65548 TVM65548 TLQ65548 TBU65548 SRY65548 SIC65548 RYG65548 ROK65548 REO65548 QUS65548 QKW65548 QBA65548 PRE65548 PHI65548 OXM65548 ONQ65548 ODU65548 NTY65548 NKC65548 NAG65548 MQK65548 MGO65548 LWS65548 LMW65548 LDA65548 KTE65548 KJI65548 JZM65548 JPQ65548 JFU65548 IVY65548 IMC65548 ICG65548 HSK65548 HIO65548 GYS65548 GOW65548 GFA65548 FVE65548 FLI65548 FBM65548 ERQ65548 EHU65548 DXY65548 DOC65548 DEG65548 CUK65548 CKO65548 CAS65548 BQW65548 BHA65548 AXE65548 ANI65548 ADM65548">
      <formula1>"A,B,C,D,E,F,G"</formula1>
    </dataValidation>
    <dataValidation type="list" allowBlank="1" showInputMessage="1" sqref="H11:H38">
      <formula1>"TE-GL1,TE-Evo1,TE-GL,RF1,TE-F,RF2,HP61,TE-Synergy"</formula1>
    </dataValidation>
  </dataValidations>
  <printOptions horizontalCentered="1" verticalCentered="1"/>
  <pageMargins left="0.23622047244094491" right="0.23622047244094491" top="0.19685039370078741" bottom="0.62992125984251968" header="0" footer="0"/>
  <pageSetup paperSize="9" scale="80" orientation="landscape" r:id="rId1"/>
  <headerFooter>
    <oddFooter xml:space="preserve">&amp;L&amp;"TKTypeMedium,常规"&amp;7Songjiang Plant,ThyssenKrupp Elevator ( Shanghai ) Co., Ltd.
No.2, Xunye Road, Sheshan Subarea, Songjiang Industrial Area, Shanghai
Tel.: +86 (21) 37869898   Fax: +86 (21) 57793363
TKEC.SJ-F-03-03&amp;R&amp;8项目非标物料汇总表V2.01
</oddFooter>
  </headerFooter>
  <drawing r:id="rId2"/>
  <legacyDrawing r:id="rId3"/>
  <controls>
    <mc:AlternateContent xmlns:mc="http://schemas.openxmlformats.org/markup-compatibility/2006">
      <mc:Choice Requires="x14">
        <control shapeId="1055" r:id="rId4" name="TextBox1">
          <controlPr autoLine="0" r:id="rId5">
            <anchor moveWithCells="1">
              <from>
                <xdr:col>1</xdr:col>
                <xdr:colOff>0</xdr:colOff>
                <xdr:row>16</xdr:row>
                <xdr:rowOff>0</xdr:rowOff>
              </from>
              <to>
                <xdr:col>2</xdr:col>
                <xdr:colOff>0</xdr:colOff>
                <xdr:row>17</xdr:row>
                <xdr:rowOff>0</xdr:rowOff>
              </to>
            </anchor>
          </controlPr>
        </control>
      </mc:Choice>
      <mc:Fallback>
        <control shapeId="1055" r:id="rId4" name="TextBox1"/>
      </mc:Fallback>
    </mc:AlternateContent>
    <mc:AlternateContent xmlns:mc="http://schemas.openxmlformats.org/markup-compatibility/2006">
      <mc:Choice Requires="x14">
        <control shapeId="1056" r:id="rId6" name="ListBox1">
          <controlPr defaultSize="0" autoLine="0" r:id="rId7">
            <anchor moveWithCells="1">
              <from>
                <xdr:col>1</xdr:col>
                <xdr:colOff>0</xdr:colOff>
                <xdr:row>17</xdr:row>
                <xdr:rowOff>0</xdr:rowOff>
              </from>
              <to>
                <xdr:col>1</xdr:col>
                <xdr:colOff>411480</xdr:colOff>
                <xdr:row>19</xdr:row>
                <xdr:rowOff>18288</xdr:rowOff>
              </to>
            </anchor>
          </controlPr>
        </control>
      </mc:Choice>
      <mc:Fallback>
        <control shapeId="1056" r:id="rId6" name="ListBox1"/>
      </mc:Fallback>
    </mc:AlternateContent>
    <mc:AlternateContent xmlns:mc="http://schemas.openxmlformats.org/markup-compatibility/2006">
      <mc:Choice Requires="x14">
        <control shapeId="1058" r:id="rId8" name="CommandButton1">
          <controlPr autoLine="0" r:id="rId9">
            <anchor moveWithCells="1">
              <from>
                <xdr:col>25</xdr:col>
                <xdr:colOff>530352</xdr:colOff>
                <xdr:row>6</xdr:row>
                <xdr:rowOff>246888</xdr:rowOff>
              </from>
              <to>
                <xdr:col>27</xdr:col>
                <xdr:colOff>402336</xdr:colOff>
                <xdr:row>8</xdr:row>
                <xdr:rowOff>27432</xdr:rowOff>
              </to>
            </anchor>
          </controlPr>
        </control>
      </mc:Choice>
      <mc:Fallback>
        <control shapeId="1058"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35"/>
  <sheetViews>
    <sheetView topLeftCell="L1" workbookViewId="0">
      <selection activeCell="T4" sqref="T4"/>
    </sheetView>
  </sheetViews>
  <sheetFormatPr defaultRowHeight="12.25"/>
  <cols>
    <col min="1" max="1" width="12.85546875" style="20" customWidth="1"/>
    <col min="2" max="2" width="13.85546875" style="20" customWidth="1"/>
    <col min="3" max="3" width="12" style="20" customWidth="1"/>
    <col min="4" max="4" width="29" style="20" customWidth="1"/>
    <col min="5" max="5" width="32.7109375" style="20" customWidth="1"/>
    <col min="6" max="6" width="15.7109375" style="20" customWidth="1"/>
    <col min="7" max="7" width="16.28515625" style="20" customWidth="1"/>
    <col min="8" max="8" width="10.28515625" style="20" customWidth="1"/>
    <col min="9" max="9" width="9.140625" style="20"/>
    <col min="10" max="10" width="30.140625" style="20" customWidth="1"/>
    <col min="11" max="11" width="9.140625" style="20"/>
    <col min="12" max="12" width="72.140625" style="20" customWidth="1"/>
    <col min="13" max="13" width="12.5703125" style="20" customWidth="1"/>
    <col min="14" max="14" width="14.42578125" style="20" customWidth="1"/>
    <col min="15" max="17" width="9.140625" style="20"/>
    <col min="18" max="18" width="22.7109375" style="20" customWidth="1"/>
    <col min="19" max="19" width="9.140625" style="20"/>
    <col min="20" max="20" width="12" style="20" customWidth="1"/>
    <col min="21" max="21" width="11.5703125" style="20" customWidth="1"/>
    <col min="22" max="22" width="11.7109375" style="20" customWidth="1"/>
    <col min="23" max="16384" width="9.140625" style="20"/>
  </cols>
  <sheetData>
    <row r="1" spans="1:47" ht="36" customHeight="1">
      <c r="A1" s="393" t="s">
        <v>1748</v>
      </c>
      <c r="B1" s="393"/>
      <c r="C1" s="393"/>
      <c r="D1" s="393"/>
      <c r="E1" s="393"/>
      <c r="F1" s="393"/>
      <c r="G1" s="393"/>
      <c r="H1" s="393"/>
      <c r="I1" s="393"/>
      <c r="J1" s="393"/>
      <c r="K1" s="393"/>
      <c r="L1" s="393"/>
      <c r="M1" s="393"/>
      <c r="N1" s="393"/>
      <c r="O1" s="393"/>
      <c r="P1" s="393"/>
      <c r="Q1" s="393"/>
      <c r="R1" s="393"/>
      <c r="S1" s="393"/>
      <c r="T1" s="393"/>
      <c r="U1" s="393"/>
      <c r="V1" s="19"/>
      <c r="AA1" s="393" t="str">
        <f ca="1">YEAR(TODAY())&amp;"年"&amp;MONTH(TODAY())&amp;"月"&amp;DAY(TODAY())&amp;"日"&amp;" 申请物料汇总表"</f>
        <v>2016年3月28日 申请物料汇总表</v>
      </c>
      <c r="AB1" s="393"/>
      <c r="AC1" s="393"/>
      <c r="AD1" s="393"/>
      <c r="AE1" s="393"/>
      <c r="AF1" s="393"/>
      <c r="AG1" s="393"/>
      <c r="AH1" s="393"/>
      <c r="AI1" s="393"/>
      <c r="AJ1" s="393"/>
      <c r="AK1" s="393"/>
      <c r="AL1" s="393"/>
      <c r="AM1" s="393"/>
      <c r="AN1" s="393"/>
      <c r="AO1" s="393"/>
      <c r="AP1" s="393"/>
      <c r="AQ1" s="393"/>
      <c r="AR1" s="393"/>
      <c r="AS1" s="393"/>
      <c r="AT1" s="393"/>
      <c r="AU1" s="393"/>
    </row>
    <row r="2" spans="1:47" ht="56.9" customHeight="1">
      <c r="A2" s="21" t="s">
        <v>41</v>
      </c>
      <c r="B2" s="21" t="s">
        <v>22</v>
      </c>
      <c r="C2" s="21" t="s">
        <v>23</v>
      </c>
      <c r="D2" s="21" t="s">
        <v>42</v>
      </c>
      <c r="E2" s="22" t="s">
        <v>43</v>
      </c>
      <c r="F2" s="21" t="s">
        <v>44</v>
      </c>
      <c r="G2" s="21" t="s">
        <v>24</v>
      </c>
      <c r="H2" s="21"/>
      <c r="I2" s="21" t="s">
        <v>25</v>
      </c>
      <c r="J2" s="21" t="s">
        <v>45</v>
      </c>
      <c r="K2" s="21" t="s">
        <v>27</v>
      </c>
      <c r="L2" s="21" t="s">
        <v>21</v>
      </c>
      <c r="M2" s="22" t="s">
        <v>46</v>
      </c>
      <c r="N2" s="21" t="s">
        <v>47</v>
      </c>
      <c r="O2" s="21" t="s">
        <v>48</v>
      </c>
      <c r="P2" s="21" t="s">
        <v>28</v>
      </c>
      <c r="Q2" s="21" t="s">
        <v>49</v>
      </c>
      <c r="R2" s="21" t="s">
        <v>30</v>
      </c>
      <c r="S2" s="23" t="s">
        <v>50</v>
      </c>
      <c r="T2" s="24" t="s">
        <v>51</v>
      </c>
      <c r="U2" s="21" t="s">
        <v>52</v>
      </c>
      <c r="V2" s="21" t="s">
        <v>31</v>
      </c>
      <c r="W2" s="21" t="s">
        <v>1663</v>
      </c>
      <c r="X2" s="21" t="s">
        <v>1669</v>
      </c>
    </row>
    <row r="3" spans="1:47" ht="36.75">
      <c r="A3" s="25" t="s">
        <v>53</v>
      </c>
      <c r="B3" s="22" t="s">
        <v>54</v>
      </c>
      <c r="C3" s="25"/>
      <c r="D3" s="26" t="s">
        <v>55</v>
      </c>
      <c r="E3" s="22" t="s">
        <v>56</v>
      </c>
      <c r="F3" s="22" t="s">
        <v>57</v>
      </c>
      <c r="G3" s="22" t="s">
        <v>57</v>
      </c>
      <c r="H3" s="25"/>
      <c r="I3" s="25" t="s">
        <v>53</v>
      </c>
      <c r="J3" s="22" t="s">
        <v>58</v>
      </c>
      <c r="K3" s="25" t="s">
        <v>53</v>
      </c>
      <c r="L3" s="22" t="s">
        <v>54</v>
      </c>
      <c r="M3" s="22" t="s">
        <v>53</v>
      </c>
      <c r="N3" s="25" t="s">
        <v>53</v>
      </c>
      <c r="O3" s="25" t="s">
        <v>53</v>
      </c>
      <c r="P3" s="25" t="s">
        <v>53</v>
      </c>
      <c r="Q3" s="27" t="s">
        <v>53</v>
      </c>
      <c r="R3" s="27" t="s">
        <v>53</v>
      </c>
      <c r="S3" s="27" t="s">
        <v>53</v>
      </c>
      <c r="T3" s="22" t="s">
        <v>53</v>
      </c>
      <c r="U3" s="25"/>
      <c r="V3" s="25"/>
      <c r="W3" s="25"/>
      <c r="X3" s="25"/>
    </row>
    <row r="4" spans="1:47" s="39" customFormat="1" ht="11.55">
      <c r="A4" s="36">
        <v>42457</v>
      </c>
      <c r="B4" s="294"/>
      <c r="C4" s="293"/>
      <c r="D4" s="293"/>
      <c r="E4" s="293" t="s">
        <v>2646</v>
      </c>
      <c r="F4" s="293" t="s">
        <v>2679</v>
      </c>
      <c r="G4" s="293" t="s">
        <v>2649</v>
      </c>
      <c r="H4" s="293"/>
      <c r="I4" s="293" t="s">
        <v>2678</v>
      </c>
      <c r="J4" s="293" t="s">
        <v>498</v>
      </c>
      <c r="K4" s="293"/>
      <c r="L4" s="293" t="s">
        <v>2679</v>
      </c>
      <c r="M4" s="293" t="s">
        <v>2680</v>
      </c>
      <c r="N4" s="293" t="s">
        <v>2651</v>
      </c>
      <c r="O4" s="293" t="s">
        <v>721</v>
      </c>
      <c r="P4" s="293"/>
      <c r="Q4" s="293" t="s">
        <v>1796</v>
      </c>
      <c r="R4" s="295" t="s">
        <v>2681</v>
      </c>
      <c r="S4" s="295" t="s">
        <v>2653</v>
      </c>
      <c r="T4" s="295"/>
      <c r="U4" s="295"/>
      <c r="V4" s="295"/>
      <c r="W4" s="295" t="s">
        <v>2644</v>
      </c>
      <c r="X4" s="295"/>
    </row>
    <row r="5" spans="1:47" s="39" customFormat="1" ht="11.55">
      <c r="A5" s="36">
        <v>42457</v>
      </c>
      <c r="B5" s="294"/>
      <c r="C5" s="293"/>
      <c r="D5" s="293"/>
      <c r="E5" s="293" t="s">
        <v>2646</v>
      </c>
      <c r="F5" s="293" t="s">
        <v>2679</v>
      </c>
      <c r="G5" s="293" t="s">
        <v>2656</v>
      </c>
      <c r="H5" s="293"/>
      <c r="I5" s="293" t="s">
        <v>2678</v>
      </c>
      <c r="J5" s="293" t="s">
        <v>512</v>
      </c>
      <c r="K5" s="293"/>
      <c r="L5" s="293" t="s">
        <v>2679</v>
      </c>
      <c r="M5" s="293" t="s">
        <v>2680</v>
      </c>
      <c r="N5" s="293" t="s">
        <v>2658</v>
      </c>
      <c r="O5" s="293" t="s">
        <v>738</v>
      </c>
      <c r="P5" s="293"/>
      <c r="Q5" s="293" t="s">
        <v>1758</v>
      </c>
      <c r="R5" s="295" t="s">
        <v>2682</v>
      </c>
      <c r="S5" s="295" t="s">
        <v>2653</v>
      </c>
      <c r="T5" s="295"/>
      <c r="U5" s="295"/>
      <c r="V5" s="295"/>
      <c r="W5" s="295" t="s">
        <v>2644</v>
      </c>
      <c r="X5" s="295"/>
    </row>
    <row r="6" spans="1:47" s="39" customFormat="1" ht="11.55">
      <c r="A6" s="36">
        <v>42457</v>
      </c>
      <c r="B6" s="294"/>
      <c r="C6" s="293"/>
      <c r="D6" s="293"/>
      <c r="E6" s="293" t="s">
        <v>2646</v>
      </c>
      <c r="F6" s="293" t="s">
        <v>2679</v>
      </c>
      <c r="G6" s="293" t="s">
        <v>2660</v>
      </c>
      <c r="H6" s="293"/>
      <c r="I6" s="293" t="s">
        <v>2678</v>
      </c>
      <c r="J6" s="293" t="s">
        <v>512</v>
      </c>
      <c r="K6" s="293"/>
      <c r="L6" s="293" t="s">
        <v>2679</v>
      </c>
      <c r="M6" s="293" t="s">
        <v>2680</v>
      </c>
      <c r="N6" s="293" t="s">
        <v>2658</v>
      </c>
      <c r="O6" s="293" t="s">
        <v>738</v>
      </c>
      <c r="P6" s="293"/>
      <c r="Q6" s="293" t="s">
        <v>1758</v>
      </c>
      <c r="R6" s="295" t="s">
        <v>2682</v>
      </c>
      <c r="S6" s="295" t="s">
        <v>2653</v>
      </c>
      <c r="T6" s="295"/>
      <c r="U6" s="295"/>
      <c r="V6" s="295"/>
      <c r="W6" s="295" t="s">
        <v>2644</v>
      </c>
      <c r="X6" s="295"/>
    </row>
    <row r="7" spans="1:47" s="39" customFormat="1" ht="11.55">
      <c r="A7" s="36">
        <v>42457</v>
      </c>
      <c r="B7" s="294"/>
      <c r="C7" s="293"/>
      <c r="D7" s="293"/>
      <c r="E7" s="293" t="s">
        <v>2646</v>
      </c>
      <c r="F7" s="293" t="s">
        <v>2679</v>
      </c>
      <c r="G7" s="293" t="s">
        <v>2663</v>
      </c>
      <c r="H7" s="293"/>
      <c r="I7" s="293" t="s">
        <v>2678</v>
      </c>
      <c r="J7" s="293" t="s">
        <v>2683</v>
      </c>
      <c r="K7" s="293"/>
      <c r="L7" s="293" t="s">
        <v>2679</v>
      </c>
      <c r="M7" s="293" t="s">
        <v>2680</v>
      </c>
      <c r="N7" s="293" t="s">
        <v>2665</v>
      </c>
      <c r="O7" s="293" t="s">
        <v>926</v>
      </c>
      <c r="P7" s="293"/>
      <c r="Q7" s="293" t="s">
        <v>97</v>
      </c>
      <c r="R7" s="295" t="s">
        <v>2684</v>
      </c>
      <c r="S7" s="295" t="s">
        <v>2653</v>
      </c>
      <c r="T7" s="295"/>
      <c r="U7" s="295"/>
      <c r="V7" s="295"/>
      <c r="W7" s="295" t="s">
        <v>2644</v>
      </c>
      <c r="X7" s="295"/>
    </row>
    <row r="8" spans="1:47" s="39" customFormat="1" ht="13.5" customHeight="1">
      <c r="A8" s="36">
        <v>42457</v>
      </c>
      <c r="B8" s="294"/>
      <c r="C8" s="295"/>
      <c r="D8" s="293"/>
      <c r="E8" s="439" t="s">
        <v>2646</v>
      </c>
      <c r="F8" s="295" t="s">
        <v>2679</v>
      </c>
      <c r="G8" s="295" t="s">
        <v>2669</v>
      </c>
      <c r="H8" s="295"/>
      <c r="I8" s="295" t="s">
        <v>2678</v>
      </c>
      <c r="J8" s="439" t="s">
        <v>2685</v>
      </c>
      <c r="K8" s="295"/>
      <c r="L8" s="439" t="s">
        <v>2679</v>
      </c>
      <c r="M8" s="295" t="s">
        <v>2680</v>
      </c>
      <c r="N8" s="295" t="s">
        <v>2671</v>
      </c>
      <c r="O8" s="295" t="s">
        <v>926</v>
      </c>
      <c r="P8" s="295"/>
      <c r="Q8" s="295" t="s">
        <v>97</v>
      </c>
      <c r="R8" s="295" t="s">
        <v>2686</v>
      </c>
      <c r="S8" s="295" t="s">
        <v>2653</v>
      </c>
      <c r="T8" s="295"/>
      <c r="U8" s="295"/>
      <c r="V8" s="295"/>
      <c r="W8" s="295" t="s">
        <v>2644</v>
      </c>
      <c r="X8" s="295"/>
    </row>
    <row r="9" spans="1:47" s="39" customFormat="1" ht="13.5" customHeight="1">
      <c r="A9" s="36">
        <v>42457</v>
      </c>
      <c r="B9" s="294"/>
      <c r="C9" s="295"/>
      <c r="D9" s="293"/>
      <c r="E9" s="439" t="s">
        <v>2646</v>
      </c>
      <c r="F9" s="295" t="s">
        <v>2679</v>
      </c>
      <c r="G9" s="295" t="s">
        <v>2674</v>
      </c>
      <c r="H9" s="295"/>
      <c r="I9" s="295" t="s">
        <v>2678</v>
      </c>
      <c r="J9" s="439" t="s">
        <v>572</v>
      </c>
      <c r="K9" s="295"/>
      <c r="L9" s="439" t="s">
        <v>2679</v>
      </c>
      <c r="M9" s="295" t="s">
        <v>2680</v>
      </c>
      <c r="N9" s="295" t="s">
        <v>2676</v>
      </c>
      <c r="O9" s="295" t="s">
        <v>918</v>
      </c>
      <c r="P9" s="295"/>
      <c r="Q9" s="295" t="s">
        <v>96</v>
      </c>
      <c r="R9" s="295" t="s">
        <v>2687</v>
      </c>
      <c r="S9" s="295" t="s">
        <v>2653</v>
      </c>
      <c r="T9" s="295"/>
      <c r="U9" s="295"/>
      <c r="V9" s="295"/>
      <c r="W9" s="295" t="s">
        <v>2644</v>
      </c>
      <c r="X9" s="295"/>
    </row>
    <row r="10" spans="1:47" s="39" customFormat="1" ht="13.5" customHeight="1">
      <c r="A10" s="36"/>
      <c r="B10" s="37"/>
      <c r="D10" s="38"/>
      <c r="E10" s="40"/>
      <c r="H10" s="41"/>
      <c r="J10" s="40"/>
      <c r="L10" s="40"/>
    </row>
    <row r="11" spans="1:47" s="39" customFormat="1" ht="13.5" customHeight="1">
      <c r="A11" s="36"/>
      <c r="B11" s="37"/>
      <c r="D11" s="38"/>
      <c r="E11" s="40"/>
      <c r="J11" s="40"/>
      <c r="L11" s="40"/>
    </row>
    <row r="12" spans="1:47" s="39" customFormat="1" ht="13.5" customHeight="1">
      <c r="A12" s="36"/>
      <c r="B12" s="37"/>
      <c r="D12" s="38"/>
      <c r="E12" s="40"/>
      <c r="L12" s="40"/>
      <c r="N12" s="40"/>
    </row>
    <row r="13" spans="1:47" s="39" customFormat="1" ht="13.5" customHeight="1">
      <c r="A13" s="36"/>
      <c r="B13" s="37"/>
      <c r="D13" s="38"/>
      <c r="E13" s="40"/>
      <c r="L13" s="40"/>
      <c r="N13" s="40"/>
    </row>
    <row r="14" spans="1:47" s="39" customFormat="1" ht="13.5" customHeight="1">
      <c r="A14" s="36"/>
      <c r="B14" s="37"/>
      <c r="D14" s="38"/>
      <c r="E14" s="40"/>
      <c r="L14" s="40"/>
      <c r="N14" s="40"/>
    </row>
    <row r="15" spans="1:47" s="39" customFormat="1" ht="13.5" customHeight="1">
      <c r="A15" s="36"/>
      <c r="B15" s="37"/>
      <c r="D15" s="38"/>
      <c r="E15" s="40"/>
      <c r="L15" s="40"/>
      <c r="N15" s="40"/>
    </row>
    <row r="16" spans="1:47" s="39" customFormat="1" ht="13.5" customHeight="1">
      <c r="A16" s="36"/>
      <c r="B16" s="37"/>
      <c r="D16" s="38"/>
      <c r="E16" s="40"/>
      <c r="L16" s="40"/>
      <c r="N16" s="40"/>
    </row>
    <row r="17" spans="1:20" s="39" customFormat="1" ht="13.5" customHeight="1">
      <c r="A17" s="36"/>
      <c r="B17" s="37"/>
      <c r="D17" s="38"/>
      <c r="E17" s="40"/>
      <c r="L17" s="40"/>
      <c r="N17" s="40"/>
    </row>
    <row r="18" spans="1:20" s="39" customFormat="1" ht="11.55">
      <c r="A18" s="41"/>
      <c r="B18" s="37"/>
      <c r="D18" s="38"/>
    </row>
    <row r="19" spans="1:20" s="39" customFormat="1" ht="11.55">
      <c r="A19" s="41"/>
      <c r="B19" s="37"/>
      <c r="D19" s="38"/>
    </row>
    <row r="20" spans="1:20" s="39" customFormat="1" ht="13.5" customHeight="1">
      <c r="A20" s="36"/>
      <c r="B20" s="37"/>
      <c r="C20" s="36"/>
      <c r="D20" s="38"/>
      <c r="E20" s="42"/>
      <c r="F20" s="38"/>
      <c r="G20" s="38"/>
      <c r="H20" s="38"/>
      <c r="I20" s="38"/>
      <c r="J20" s="43"/>
      <c r="K20" s="38"/>
      <c r="L20" s="43"/>
      <c r="M20" s="38"/>
      <c r="N20" s="38"/>
      <c r="O20" s="38"/>
      <c r="P20" s="38"/>
      <c r="Q20" s="38"/>
    </row>
    <row r="21" spans="1:20" s="39" customFormat="1" ht="11.55">
      <c r="A21" s="41"/>
      <c r="B21" s="37"/>
      <c r="D21" s="38"/>
    </row>
    <row r="22" spans="1:20" s="39" customFormat="1" ht="11.55">
      <c r="A22" s="41"/>
      <c r="B22" s="37"/>
      <c r="D22" s="38"/>
    </row>
    <row r="23" spans="1:20" s="39" customFormat="1" ht="11.55">
      <c r="A23" s="41"/>
      <c r="B23" s="37"/>
      <c r="D23" s="38"/>
    </row>
    <row r="24" spans="1:20" s="39" customFormat="1" ht="11.55">
      <c r="A24" s="41"/>
      <c r="B24" s="37"/>
      <c r="D24" s="38"/>
    </row>
    <row r="25" spans="1:20" s="39" customFormat="1" ht="11.55">
      <c r="A25" s="41"/>
      <c r="B25" s="37"/>
      <c r="D25" s="38"/>
    </row>
    <row r="26" spans="1:20" s="39" customFormat="1" ht="11.55">
      <c r="A26" s="41"/>
      <c r="B26" s="37"/>
    </row>
    <row r="27" spans="1:20" s="39" customFormat="1" ht="11.55">
      <c r="A27" s="41"/>
      <c r="B27" s="37"/>
    </row>
    <row r="28" spans="1:20" s="39" customFormat="1" ht="11.55">
      <c r="A28" s="41"/>
      <c r="B28" s="37"/>
    </row>
    <row r="29" spans="1:20" s="39" customFormat="1" ht="11.55">
      <c r="A29" s="41"/>
      <c r="B29" s="37"/>
    </row>
    <row r="30" spans="1:20" s="39" customFormat="1" ht="11.55">
      <c r="A30" s="41"/>
      <c r="B30" s="37"/>
    </row>
    <row r="31" spans="1:20" s="39" customFormat="1" ht="11.55">
      <c r="A31" s="41"/>
      <c r="B31" s="37"/>
    </row>
    <row r="32" spans="1:20" ht="13">
      <c r="A32" s="28"/>
      <c r="B32" s="29"/>
      <c r="C32" s="30"/>
      <c r="D32" s="31"/>
      <c r="E32" s="32"/>
      <c r="F32" s="33"/>
      <c r="G32" s="31"/>
      <c r="H32" s="33"/>
      <c r="I32" s="31"/>
      <c r="J32" s="31"/>
      <c r="K32" s="33"/>
      <c r="L32" s="31"/>
      <c r="M32" s="33"/>
      <c r="N32" s="31"/>
      <c r="O32" s="33"/>
      <c r="P32" s="33"/>
      <c r="Q32" s="33"/>
      <c r="R32" s="34"/>
      <c r="T32" s="34"/>
    </row>
    <row r="33" spans="2:2">
      <c r="B33" s="35"/>
    </row>
    <row r="34" spans="2:2">
      <c r="B34" s="35"/>
    </row>
    <row r="35" spans="2:2">
      <c r="B35" s="35"/>
    </row>
  </sheetData>
  <autoFilter ref="A1:X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autoFilter>
  <mergeCells count="2">
    <mergeCell ref="A1:U1"/>
    <mergeCell ref="AA1:AU1"/>
  </mergeCells>
  <phoneticPr fontId="1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0"/>
  <sheetViews>
    <sheetView workbookViewId="0">
      <selection activeCell="I17" sqref="I17"/>
    </sheetView>
  </sheetViews>
  <sheetFormatPr defaultRowHeight="12.25"/>
  <cols>
    <col min="1" max="1" width="8.28515625" bestFit="1" customWidth="1"/>
  </cols>
  <sheetData>
    <row r="1" spans="1:19">
      <c r="A1" s="87" t="s">
        <v>105</v>
      </c>
      <c r="B1" s="88" t="s">
        <v>106</v>
      </c>
      <c r="C1" s="88" t="s">
        <v>107</v>
      </c>
      <c r="D1" s="88" t="s">
        <v>108</v>
      </c>
      <c r="E1" s="89" t="s">
        <v>109</v>
      </c>
      <c r="F1" s="87" t="s">
        <v>110</v>
      </c>
      <c r="G1" s="87" t="s">
        <v>111</v>
      </c>
      <c r="H1" s="90" t="s">
        <v>112</v>
      </c>
      <c r="I1" s="87" t="s">
        <v>113</v>
      </c>
      <c r="J1" s="87" t="s">
        <v>114</v>
      </c>
      <c r="K1" s="87" t="s">
        <v>115</v>
      </c>
      <c r="L1" t="s">
        <v>116</v>
      </c>
      <c r="M1" t="s">
        <v>117</v>
      </c>
      <c r="N1" t="s">
        <v>118</v>
      </c>
      <c r="O1" t="s">
        <v>119</v>
      </c>
      <c r="P1" t="s">
        <v>120</v>
      </c>
    </row>
    <row r="2" spans="1:19">
      <c r="A2" s="89" t="s">
        <v>121</v>
      </c>
      <c r="B2" s="89" t="s">
        <v>122</v>
      </c>
      <c r="C2" s="88" t="s">
        <v>123</v>
      </c>
      <c r="D2" s="88" t="s">
        <v>124</v>
      </c>
      <c r="E2" s="89" t="s">
        <v>125</v>
      </c>
      <c r="F2" s="87" t="s">
        <v>126</v>
      </c>
      <c r="G2" s="87" t="s">
        <v>1662</v>
      </c>
      <c r="H2" s="90" t="s">
        <v>127</v>
      </c>
      <c r="I2" s="87" t="s">
        <v>128</v>
      </c>
      <c r="J2" s="87" t="s">
        <v>129</v>
      </c>
      <c r="K2" s="87" t="s">
        <v>130</v>
      </c>
      <c r="L2" s="91"/>
      <c r="M2" s="91"/>
      <c r="N2" s="91"/>
      <c r="O2" s="92"/>
      <c r="P2" s="92"/>
      <c r="Q2" s="92"/>
      <c r="R2" s="92"/>
      <c r="S2" s="92"/>
    </row>
    <row r="3" spans="1:19" s="101" customFormat="1">
      <c r="A3" s="296" t="s">
        <v>2649</v>
      </c>
      <c r="B3" s="105" t="s">
        <v>2651</v>
      </c>
      <c r="C3" s="297"/>
      <c r="D3" s="104" t="s">
        <v>498</v>
      </c>
      <c r="E3" s="298" t="s">
        <v>2681</v>
      </c>
      <c r="F3" s="106"/>
      <c r="G3" s="106"/>
      <c r="H3" s="299"/>
      <c r="I3" s="106"/>
      <c r="J3" s="106" t="s">
        <v>2653</v>
      </c>
      <c r="K3" s="300" t="s">
        <v>2679</v>
      </c>
      <c r="L3" s="99" t="s">
        <v>1796</v>
      </c>
      <c r="M3" s="99"/>
      <c r="N3" s="99" t="s">
        <v>721</v>
      </c>
      <c r="O3" s="103"/>
      <c r="P3" s="103"/>
      <c r="Q3" s="100"/>
      <c r="R3" s="100"/>
      <c r="S3" s="100"/>
    </row>
    <row r="4" spans="1:19" s="101" customFormat="1">
      <c r="A4" s="296" t="s">
        <v>2656</v>
      </c>
      <c r="B4" s="105" t="s">
        <v>2658</v>
      </c>
      <c r="C4" s="103"/>
      <c r="D4" s="104" t="s">
        <v>512</v>
      </c>
      <c r="E4" s="105" t="s">
        <v>2682</v>
      </c>
      <c r="F4" s="301"/>
      <c r="G4" s="302"/>
      <c r="H4" s="299"/>
      <c r="I4" s="303"/>
      <c r="J4" s="106" t="s">
        <v>2653</v>
      </c>
      <c r="K4" s="99" t="s">
        <v>2679</v>
      </c>
      <c r="L4" s="99" t="s">
        <v>1758</v>
      </c>
      <c r="M4" s="99"/>
      <c r="N4" s="99" t="s">
        <v>738</v>
      </c>
      <c r="O4" s="103"/>
      <c r="P4" s="103"/>
      <c r="Q4" s="100"/>
      <c r="R4" s="100"/>
      <c r="S4" s="100"/>
    </row>
    <row r="5" spans="1:19" s="101" customFormat="1">
      <c r="A5" s="296" t="s">
        <v>2660</v>
      </c>
      <c r="B5" s="105" t="s">
        <v>2658</v>
      </c>
      <c r="C5" s="297"/>
      <c r="D5" s="104" t="s">
        <v>512</v>
      </c>
      <c r="E5" s="105" t="s">
        <v>2682</v>
      </c>
      <c r="F5" s="106"/>
      <c r="G5" s="106"/>
      <c r="H5" s="299"/>
      <c r="I5" s="106"/>
      <c r="J5" s="106" t="s">
        <v>2653</v>
      </c>
      <c r="K5" s="106" t="s">
        <v>2679</v>
      </c>
      <c r="L5" s="99" t="s">
        <v>1758</v>
      </c>
      <c r="M5" s="99"/>
      <c r="N5" s="99" t="s">
        <v>738</v>
      </c>
      <c r="O5" s="103"/>
      <c r="P5" s="103"/>
      <c r="Q5" s="100"/>
      <c r="R5" s="100"/>
      <c r="S5" s="100"/>
    </row>
    <row r="6" spans="1:19" s="101" customFormat="1">
      <c r="A6" s="296" t="s">
        <v>2663</v>
      </c>
      <c r="B6" s="105" t="s">
        <v>2665</v>
      </c>
      <c r="C6" s="103"/>
      <c r="D6" s="104" t="s">
        <v>2683</v>
      </c>
      <c r="E6" s="105" t="s">
        <v>2684</v>
      </c>
      <c r="F6" s="301"/>
      <c r="G6" s="302"/>
      <c r="H6" s="299"/>
      <c r="I6" s="303"/>
      <c r="J6" s="106" t="s">
        <v>2653</v>
      </c>
      <c r="K6" s="99" t="s">
        <v>2679</v>
      </c>
      <c r="L6" s="99" t="s">
        <v>97</v>
      </c>
      <c r="M6" s="99"/>
      <c r="N6" s="99" t="s">
        <v>926</v>
      </c>
      <c r="O6" s="103"/>
      <c r="P6" s="103"/>
      <c r="Q6" s="100"/>
      <c r="R6" s="100"/>
      <c r="S6" s="100"/>
    </row>
    <row r="7" spans="1:19" s="101" customFormat="1">
      <c r="A7" s="296" t="s">
        <v>2669</v>
      </c>
      <c r="B7" s="105" t="s">
        <v>2671</v>
      </c>
      <c r="C7" s="103"/>
      <c r="D7" s="104" t="s">
        <v>2685</v>
      </c>
      <c r="E7" s="105" t="s">
        <v>2686</v>
      </c>
      <c r="F7" s="301"/>
      <c r="G7" s="302"/>
      <c r="H7" s="299"/>
      <c r="I7" s="303"/>
      <c r="J7" s="106" t="s">
        <v>2653</v>
      </c>
      <c r="K7" s="99" t="s">
        <v>2679</v>
      </c>
      <c r="L7" s="99" t="s">
        <v>97</v>
      </c>
      <c r="M7" s="99"/>
      <c r="N7" s="99" t="s">
        <v>926</v>
      </c>
      <c r="O7" s="103"/>
      <c r="P7" s="103"/>
      <c r="Q7" s="100"/>
      <c r="R7" s="100"/>
      <c r="S7" s="100"/>
    </row>
    <row r="8" spans="1:19" s="101" customFormat="1">
      <c r="A8" s="296" t="s">
        <v>2674</v>
      </c>
      <c r="B8" s="105" t="s">
        <v>2676</v>
      </c>
      <c r="C8" s="103"/>
      <c r="D8" s="104" t="s">
        <v>572</v>
      </c>
      <c r="E8" s="105" t="s">
        <v>2687</v>
      </c>
      <c r="F8" s="103"/>
      <c r="G8" s="103"/>
      <c r="H8" s="299"/>
      <c r="I8" s="440"/>
      <c r="J8" s="106" t="s">
        <v>2653</v>
      </c>
      <c r="K8" s="99" t="s">
        <v>2679</v>
      </c>
      <c r="L8" s="99" t="s">
        <v>96</v>
      </c>
      <c r="M8" s="103"/>
      <c r="N8" s="99" t="s">
        <v>918</v>
      </c>
      <c r="O8" s="103"/>
      <c r="P8" s="103"/>
      <c r="Q8" s="100"/>
      <c r="R8" s="100"/>
      <c r="S8" s="100"/>
    </row>
    <row r="9" spans="1:19" s="101" customFormat="1">
      <c r="A9" s="93"/>
      <c r="B9" s="94"/>
      <c r="C9" s="100"/>
      <c r="D9" s="96"/>
      <c r="E9" s="94"/>
      <c r="F9" s="100"/>
      <c r="G9" s="100"/>
      <c r="H9" s="98"/>
      <c r="I9" s="100"/>
      <c r="J9" s="97"/>
      <c r="K9" s="99"/>
      <c r="L9" s="99"/>
      <c r="M9" s="100"/>
      <c r="N9" s="99"/>
      <c r="O9" s="100"/>
      <c r="P9" s="100"/>
      <c r="Q9" s="100"/>
      <c r="R9" s="100"/>
      <c r="S9" s="100"/>
    </row>
    <row r="10" spans="1:19" s="101" customFormat="1">
      <c r="A10" s="93"/>
      <c r="B10" s="94"/>
      <c r="C10" s="95"/>
      <c r="D10" s="104"/>
      <c r="E10" s="105"/>
      <c r="F10" s="97"/>
      <c r="G10" s="97"/>
      <c r="H10" s="98"/>
      <c r="I10" s="102"/>
      <c r="J10" s="97"/>
      <c r="K10" s="106"/>
      <c r="L10" s="99"/>
      <c r="M10" s="107"/>
      <c r="N10" s="99"/>
      <c r="O10" s="100"/>
      <c r="P10" s="100"/>
      <c r="Q10" s="100"/>
      <c r="R10" s="100"/>
      <c r="S10" s="100"/>
    </row>
  </sheetData>
  <protectedRanges>
    <protectedRange sqref="K6:K7 K4" name="Range1_2_1"/>
  </protectedRanges>
  <phoneticPr fontId="1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1068"/>
  <sheetViews>
    <sheetView topLeftCell="O1" workbookViewId="0">
      <selection activeCell="O1" sqref="A1:XFD1048576"/>
    </sheetView>
  </sheetViews>
  <sheetFormatPr defaultRowHeight="12.25"/>
  <cols>
    <col min="1" max="1" width="15.28515625" bestFit="1" customWidth="1"/>
    <col min="2" max="2" width="27.42578125" bestFit="1" customWidth="1"/>
    <col min="7" max="7" width="12.5703125" customWidth="1"/>
    <col min="10" max="10" width="20.85546875" bestFit="1" customWidth="1"/>
    <col min="11" max="12" width="9.140625" customWidth="1"/>
    <col min="14" max="14" width="15.42578125" customWidth="1"/>
    <col min="15" max="15" width="30.28515625" customWidth="1"/>
    <col min="16" max="16" width="22.7109375" customWidth="1"/>
    <col min="17" max="17" width="22.7109375" style="225" customWidth="1"/>
    <col min="20" max="20" width="20.5703125" customWidth="1"/>
  </cols>
  <sheetData>
    <row r="1" spans="1:24" ht="12.25" customHeight="1" thickBot="1">
      <c r="A1" s="81" t="s">
        <v>1889</v>
      </c>
      <c r="B1" s="83" t="s">
        <v>1890</v>
      </c>
      <c r="C1" s="86" t="s">
        <v>1891</v>
      </c>
      <c r="D1" s="86" t="s">
        <v>90</v>
      </c>
      <c r="F1" t="s">
        <v>705</v>
      </c>
      <c r="G1">
        <v>1000</v>
      </c>
      <c r="H1" s="225" t="s">
        <v>706</v>
      </c>
      <c r="J1" s="228" t="s">
        <v>981</v>
      </c>
      <c r="L1" s="222" t="s">
        <v>1892</v>
      </c>
      <c r="M1" t="s">
        <v>1894</v>
      </c>
      <c r="N1" t="s">
        <v>1895</v>
      </c>
      <c r="O1" t="s">
        <v>1896</v>
      </c>
      <c r="P1" t="s">
        <v>1897</v>
      </c>
      <c r="Q1" s="225">
        <v>12000</v>
      </c>
      <c r="R1" t="s">
        <v>1898</v>
      </c>
      <c r="S1" s="288" t="s">
        <v>1899</v>
      </c>
      <c r="T1" s="289" t="s">
        <v>1900</v>
      </c>
      <c r="U1" s="290" t="s">
        <v>1901</v>
      </c>
      <c r="V1" s="290" t="s">
        <v>1902</v>
      </c>
      <c r="W1" s="271" t="s">
        <v>1903</v>
      </c>
      <c r="X1" s="272" t="s">
        <v>1904</v>
      </c>
    </row>
    <row r="2" spans="1:24" ht="12.25" customHeight="1" thickTop="1">
      <c r="A2" s="81" t="s">
        <v>84</v>
      </c>
      <c r="B2" s="83" t="s">
        <v>1905</v>
      </c>
      <c r="C2" s="86" t="s">
        <v>1906</v>
      </c>
      <c r="D2" s="86" t="s">
        <v>91</v>
      </c>
      <c r="F2" t="s">
        <v>707</v>
      </c>
      <c r="G2">
        <v>1001</v>
      </c>
      <c r="H2" s="225" t="s">
        <v>708</v>
      </c>
      <c r="J2" s="229" t="s">
        <v>1907</v>
      </c>
      <c r="L2" s="118" t="s">
        <v>493</v>
      </c>
      <c r="M2" t="s">
        <v>1893</v>
      </c>
      <c r="N2" t="s">
        <v>1908</v>
      </c>
      <c r="O2" t="s">
        <v>1909</v>
      </c>
      <c r="P2" t="s">
        <v>1910</v>
      </c>
      <c r="Q2" s="225" t="s">
        <v>1911</v>
      </c>
      <c r="S2" s="397" t="s">
        <v>1912</v>
      </c>
      <c r="T2" s="318" t="s">
        <v>1913</v>
      </c>
      <c r="U2" s="305" t="s">
        <v>1914</v>
      </c>
      <c r="V2" s="306" t="s">
        <v>1915</v>
      </c>
      <c r="W2" s="307" t="s">
        <v>705</v>
      </c>
      <c r="X2" s="319" t="s">
        <v>1916</v>
      </c>
    </row>
    <row r="3" spans="1:24" ht="12.25" customHeight="1" thickBot="1">
      <c r="A3" s="81" t="s">
        <v>1917</v>
      </c>
      <c r="B3" s="83" t="s">
        <v>1918</v>
      </c>
      <c r="C3" s="86" t="s">
        <v>1919</v>
      </c>
      <c r="D3" s="86" t="s">
        <v>92</v>
      </c>
      <c r="F3" t="s">
        <v>709</v>
      </c>
      <c r="G3">
        <v>1002</v>
      </c>
      <c r="H3" s="225" t="s">
        <v>710</v>
      </c>
      <c r="J3" s="230" t="s">
        <v>1920</v>
      </c>
      <c r="L3" s="118" t="s">
        <v>494</v>
      </c>
      <c r="M3" t="s">
        <v>1921</v>
      </c>
      <c r="N3" t="s">
        <v>1922</v>
      </c>
      <c r="O3" t="s">
        <v>1923</v>
      </c>
      <c r="P3" t="s">
        <v>1924</v>
      </c>
      <c r="Q3" s="225" t="s">
        <v>1925</v>
      </c>
      <c r="S3" s="395"/>
      <c r="T3" s="318" t="s">
        <v>1926</v>
      </c>
      <c r="U3" s="305" t="s">
        <v>1927</v>
      </c>
      <c r="V3" s="305" t="s">
        <v>1928</v>
      </c>
      <c r="W3" s="308" t="s">
        <v>705</v>
      </c>
      <c r="X3" s="309" t="s">
        <v>1929</v>
      </c>
    </row>
    <row r="4" spans="1:24" ht="12.25" customHeight="1" thickTop="1">
      <c r="A4" s="82" t="s">
        <v>85</v>
      </c>
      <c r="B4" s="83" t="s">
        <v>1930</v>
      </c>
      <c r="C4" s="86" t="s">
        <v>89</v>
      </c>
      <c r="D4" s="86" t="s">
        <v>93</v>
      </c>
      <c r="F4" t="s">
        <v>711</v>
      </c>
      <c r="G4">
        <v>1003</v>
      </c>
      <c r="H4" s="225" t="s">
        <v>712</v>
      </c>
      <c r="J4" s="229" t="s">
        <v>1931</v>
      </c>
      <c r="L4" s="221" t="s">
        <v>1932</v>
      </c>
      <c r="M4" t="s">
        <v>1933</v>
      </c>
      <c r="N4" t="s">
        <v>1934</v>
      </c>
      <c r="O4" t="s">
        <v>1637</v>
      </c>
      <c r="P4" t="s">
        <v>1935</v>
      </c>
      <c r="Q4" s="225" t="s">
        <v>1936</v>
      </c>
      <c r="S4" s="395"/>
      <c r="T4" s="318" t="s">
        <v>1937</v>
      </c>
      <c r="U4" s="305" t="s">
        <v>1938</v>
      </c>
      <c r="V4" s="305" t="s">
        <v>1915</v>
      </c>
      <c r="W4" s="308" t="s">
        <v>705</v>
      </c>
      <c r="X4" s="309" t="s">
        <v>1939</v>
      </c>
    </row>
    <row r="5" spans="1:24" ht="12.25" customHeight="1" thickBot="1">
      <c r="A5" s="81" t="s">
        <v>1940</v>
      </c>
      <c r="B5" s="83" t="s">
        <v>1941</v>
      </c>
      <c r="C5" s="86" t="s">
        <v>1942</v>
      </c>
      <c r="D5" s="86" t="s">
        <v>1943</v>
      </c>
      <c r="F5" t="s">
        <v>713</v>
      </c>
      <c r="G5">
        <v>1004</v>
      </c>
      <c r="H5" s="225" t="s">
        <v>714</v>
      </c>
      <c r="J5" s="230" t="s">
        <v>1944</v>
      </c>
      <c r="L5" s="123" t="s">
        <v>495</v>
      </c>
      <c r="M5" t="s">
        <v>1921</v>
      </c>
      <c r="N5" t="s">
        <v>1638</v>
      </c>
      <c r="O5" t="s">
        <v>1639</v>
      </c>
      <c r="P5" t="s">
        <v>1945</v>
      </c>
      <c r="Q5" s="225" t="s">
        <v>1945</v>
      </c>
      <c r="S5" s="395"/>
      <c r="T5" s="304" t="s">
        <v>624</v>
      </c>
      <c r="U5" s="305" t="s">
        <v>1946</v>
      </c>
      <c r="V5" s="305" t="s">
        <v>1928</v>
      </c>
      <c r="W5" s="308" t="s">
        <v>705</v>
      </c>
      <c r="X5" s="309"/>
    </row>
    <row r="6" spans="1:24" ht="12.25" customHeight="1" thickTop="1">
      <c r="A6" s="81" t="s">
        <v>1947</v>
      </c>
      <c r="B6" s="83" t="s">
        <v>1948</v>
      </c>
      <c r="C6" s="86" t="s">
        <v>1949</v>
      </c>
      <c r="D6" s="86" t="s">
        <v>94</v>
      </c>
      <c r="F6" t="s">
        <v>715</v>
      </c>
      <c r="G6">
        <v>1005</v>
      </c>
      <c r="H6" s="225" t="s">
        <v>716</v>
      </c>
      <c r="J6" s="229" t="s">
        <v>982</v>
      </c>
      <c r="L6" s="125" t="s">
        <v>496</v>
      </c>
      <c r="M6" t="s">
        <v>1921</v>
      </c>
      <c r="N6" s="229" t="s">
        <v>1950</v>
      </c>
      <c r="O6" s="222" t="s">
        <v>1658</v>
      </c>
      <c r="P6" t="s">
        <v>1951</v>
      </c>
      <c r="Q6" s="225" t="s">
        <v>869</v>
      </c>
      <c r="S6" s="395"/>
      <c r="T6" s="318" t="s">
        <v>1952</v>
      </c>
      <c r="U6" s="305" t="s">
        <v>1946</v>
      </c>
      <c r="V6" s="305" t="s">
        <v>1953</v>
      </c>
      <c r="W6" s="308" t="s">
        <v>1954</v>
      </c>
      <c r="X6" s="309" t="s">
        <v>1939</v>
      </c>
    </row>
    <row r="7" spans="1:24" ht="12.25" customHeight="1" thickBot="1">
      <c r="A7" s="81" t="s">
        <v>1955</v>
      </c>
      <c r="B7" s="83" t="s">
        <v>1956</v>
      </c>
      <c r="C7" s="86" t="s">
        <v>1957</v>
      </c>
      <c r="D7" s="86" t="s">
        <v>1958</v>
      </c>
      <c r="F7" t="s">
        <v>717</v>
      </c>
      <c r="G7">
        <v>2000</v>
      </c>
      <c r="H7" s="225" t="s">
        <v>99</v>
      </c>
      <c r="J7" s="230" t="s">
        <v>494</v>
      </c>
      <c r="L7" s="123" t="s">
        <v>497</v>
      </c>
      <c r="M7" t="s">
        <v>1921</v>
      </c>
      <c r="N7" t="s">
        <v>1655</v>
      </c>
      <c r="O7" t="s">
        <v>1959</v>
      </c>
      <c r="P7" t="s">
        <v>1960</v>
      </c>
      <c r="Q7" s="225" t="s">
        <v>869</v>
      </c>
      <c r="S7" s="395"/>
      <c r="T7" s="304" t="s">
        <v>624</v>
      </c>
      <c r="U7" s="305" t="s">
        <v>1961</v>
      </c>
      <c r="V7" s="305" t="s">
        <v>1787</v>
      </c>
      <c r="W7" s="308" t="s">
        <v>1788</v>
      </c>
      <c r="X7" s="309"/>
    </row>
    <row r="8" spans="1:24" ht="12.25" customHeight="1" thickTop="1">
      <c r="A8" s="83" t="s">
        <v>1789</v>
      </c>
      <c r="B8" s="83" t="s">
        <v>1790</v>
      </c>
      <c r="C8" s="86">
        <v>10000</v>
      </c>
      <c r="D8" s="86" t="s">
        <v>95</v>
      </c>
      <c r="F8" t="s">
        <v>718</v>
      </c>
      <c r="G8">
        <v>2001</v>
      </c>
      <c r="H8" s="225" t="s">
        <v>719</v>
      </c>
      <c r="J8" s="229" t="s">
        <v>1962</v>
      </c>
      <c r="L8" s="118" t="s">
        <v>498</v>
      </c>
      <c r="M8" t="s">
        <v>1921</v>
      </c>
      <c r="N8" t="s">
        <v>1493</v>
      </c>
      <c r="O8" t="s">
        <v>1963</v>
      </c>
      <c r="P8" t="s">
        <v>1951</v>
      </c>
      <c r="Q8" s="225" t="s">
        <v>1964</v>
      </c>
      <c r="S8" s="395"/>
      <c r="T8" s="304" t="s">
        <v>1965</v>
      </c>
      <c r="U8" s="305" t="s">
        <v>1938</v>
      </c>
      <c r="V8" s="305" t="s">
        <v>1915</v>
      </c>
      <c r="W8" s="308" t="s">
        <v>705</v>
      </c>
      <c r="X8" s="310"/>
    </row>
    <row r="9" spans="1:24" ht="12.25" customHeight="1" thickBot="1">
      <c r="A9" s="83" t="s">
        <v>86</v>
      </c>
      <c r="B9" s="83" t="s">
        <v>1966</v>
      </c>
      <c r="C9" s="86">
        <v>11000</v>
      </c>
      <c r="D9" s="86" t="s">
        <v>96</v>
      </c>
      <c r="F9" t="s">
        <v>720</v>
      </c>
      <c r="G9">
        <v>2002</v>
      </c>
      <c r="H9" s="225" t="s">
        <v>721</v>
      </c>
      <c r="J9" s="230" t="s">
        <v>524</v>
      </c>
      <c r="L9" s="130" t="s">
        <v>499</v>
      </c>
      <c r="M9" t="s">
        <v>1933</v>
      </c>
      <c r="N9" t="s">
        <v>1967</v>
      </c>
      <c r="O9" t="s">
        <v>1968</v>
      </c>
      <c r="S9" s="395"/>
      <c r="T9" s="311" t="s">
        <v>1969</v>
      </c>
      <c r="U9" s="305" t="s">
        <v>1938</v>
      </c>
      <c r="V9" s="305" t="s">
        <v>1915</v>
      </c>
      <c r="W9" s="308" t="s">
        <v>705</v>
      </c>
      <c r="X9" s="310"/>
    </row>
    <row r="10" spans="1:24" ht="13.7" customHeight="1" thickTop="1">
      <c r="A10" s="84" t="s">
        <v>87</v>
      </c>
      <c r="B10" s="83" t="s">
        <v>1970</v>
      </c>
      <c r="C10" s="86">
        <v>12000</v>
      </c>
      <c r="D10" s="86" t="s">
        <v>97</v>
      </c>
      <c r="F10" t="s">
        <v>722</v>
      </c>
      <c r="G10">
        <v>2003</v>
      </c>
      <c r="H10" s="225" t="s">
        <v>723</v>
      </c>
      <c r="J10" s="229" t="s">
        <v>983</v>
      </c>
      <c r="L10" s="130" t="s">
        <v>500</v>
      </c>
      <c r="M10" t="s">
        <v>1933</v>
      </c>
      <c r="N10" t="s">
        <v>1971</v>
      </c>
      <c r="O10" t="s">
        <v>1675</v>
      </c>
      <c r="P10" s="270" t="s">
        <v>1972</v>
      </c>
      <c r="Q10" s="270" t="s">
        <v>1973</v>
      </c>
      <c r="S10" s="396"/>
      <c r="T10" s="311" t="s">
        <v>1783</v>
      </c>
      <c r="U10" s="305" t="s">
        <v>1938</v>
      </c>
      <c r="V10" s="305" t="s">
        <v>1915</v>
      </c>
      <c r="W10" s="308" t="s">
        <v>705</v>
      </c>
      <c r="X10" s="310"/>
    </row>
    <row r="11" spans="1:24" ht="12.25" customHeight="1" thickBot="1">
      <c r="A11" s="81" t="s">
        <v>1753</v>
      </c>
      <c r="B11" s="83" t="s">
        <v>1754</v>
      </c>
      <c r="C11" s="86" t="s">
        <v>1974</v>
      </c>
      <c r="D11" s="86" t="s">
        <v>1975</v>
      </c>
      <c r="F11" t="s">
        <v>183</v>
      </c>
      <c r="G11">
        <v>2004</v>
      </c>
      <c r="H11" s="225" t="s">
        <v>724</v>
      </c>
      <c r="J11" s="230" t="s">
        <v>984</v>
      </c>
      <c r="L11" s="130" t="s">
        <v>501</v>
      </c>
      <c r="M11" t="s">
        <v>1933</v>
      </c>
      <c r="N11" t="s">
        <v>1682</v>
      </c>
      <c r="O11" t="s">
        <v>1976</v>
      </c>
      <c r="P11" t="s">
        <v>1683</v>
      </c>
      <c r="Q11" s="225" t="s">
        <v>102</v>
      </c>
      <c r="S11" s="394" t="s">
        <v>1977</v>
      </c>
      <c r="T11" s="311" t="s">
        <v>981</v>
      </c>
      <c r="U11" s="305" t="s">
        <v>1978</v>
      </c>
      <c r="V11" s="305" t="s">
        <v>1979</v>
      </c>
      <c r="W11" s="308" t="s">
        <v>718</v>
      </c>
      <c r="X11" s="310"/>
    </row>
    <row r="12" spans="1:24" ht="12.25" customHeight="1" thickTop="1">
      <c r="A12" s="81" t="s">
        <v>1659</v>
      </c>
      <c r="B12" s="83" t="s">
        <v>1755</v>
      </c>
      <c r="C12" s="86" t="s">
        <v>1980</v>
      </c>
      <c r="D12" s="86" t="s">
        <v>1981</v>
      </c>
      <c r="F12" t="s">
        <v>725</v>
      </c>
      <c r="G12">
        <v>2005</v>
      </c>
      <c r="H12" s="225" t="s">
        <v>726</v>
      </c>
      <c r="J12" s="229" t="s">
        <v>985</v>
      </c>
      <c r="L12" s="130" t="s">
        <v>502</v>
      </c>
      <c r="M12" t="s">
        <v>1933</v>
      </c>
      <c r="N12" t="s">
        <v>1684</v>
      </c>
      <c r="O12" t="s">
        <v>1725</v>
      </c>
      <c r="P12" t="s">
        <v>1685</v>
      </c>
      <c r="Q12" s="225" t="s">
        <v>868</v>
      </c>
      <c r="S12" s="395"/>
      <c r="T12" s="311" t="s">
        <v>1791</v>
      </c>
      <c r="U12" s="305" t="s">
        <v>1978</v>
      </c>
      <c r="V12" s="305" t="s">
        <v>1979</v>
      </c>
      <c r="W12" s="308" t="s">
        <v>718</v>
      </c>
      <c r="X12" s="310"/>
    </row>
    <row r="13" spans="1:24" ht="12.25" customHeight="1" thickBot="1">
      <c r="A13" s="81"/>
      <c r="B13" s="83"/>
      <c r="C13" s="86"/>
      <c r="D13" s="86"/>
      <c r="F13" t="s">
        <v>727</v>
      </c>
      <c r="G13">
        <v>2006</v>
      </c>
      <c r="H13" s="225" t="s">
        <v>728</v>
      </c>
      <c r="J13" s="230" t="s">
        <v>986</v>
      </c>
      <c r="L13" s="130" t="s">
        <v>503</v>
      </c>
      <c r="M13" t="s">
        <v>1933</v>
      </c>
      <c r="N13" t="s">
        <v>1686</v>
      </c>
      <c r="O13" t="s">
        <v>1726</v>
      </c>
      <c r="P13" t="s">
        <v>1685</v>
      </c>
      <c r="Q13" s="225" t="s">
        <v>868</v>
      </c>
      <c r="S13" s="395"/>
      <c r="T13" s="311" t="s">
        <v>1982</v>
      </c>
      <c r="U13" s="305" t="s">
        <v>1978</v>
      </c>
      <c r="V13" s="305" t="s">
        <v>1979</v>
      </c>
      <c r="W13" s="308" t="s">
        <v>718</v>
      </c>
      <c r="X13" s="310"/>
    </row>
    <row r="14" spans="1:24" ht="12.25" customHeight="1" thickTop="1">
      <c r="A14" s="82"/>
      <c r="B14" s="83"/>
      <c r="C14" s="86"/>
      <c r="D14" s="86"/>
      <c r="F14" t="s">
        <v>729</v>
      </c>
      <c r="G14">
        <v>2007</v>
      </c>
      <c r="H14" s="225" t="s">
        <v>730</v>
      </c>
      <c r="J14" s="229" t="s">
        <v>499</v>
      </c>
      <c r="L14" s="130" t="s">
        <v>504</v>
      </c>
      <c r="M14" t="s">
        <v>1933</v>
      </c>
      <c r="N14" t="s">
        <v>1687</v>
      </c>
      <c r="O14" t="s">
        <v>1983</v>
      </c>
      <c r="P14" t="s">
        <v>1685</v>
      </c>
      <c r="Q14" s="225" t="s">
        <v>868</v>
      </c>
      <c r="S14" s="396"/>
      <c r="T14" s="311" t="s">
        <v>1984</v>
      </c>
      <c r="U14" s="305" t="s">
        <v>1985</v>
      </c>
      <c r="V14" s="305" t="s">
        <v>1986</v>
      </c>
      <c r="W14" s="308" t="s">
        <v>718</v>
      </c>
      <c r="X14" s="310"/>
    </row>
    <row r="15" spans="1:24" ht="12.25" customHeight="1" thickBot="1">
      <c r="A15" s="81"/>
      <c r="B15" s="83"/>
      <c r="C15" s="86"/>
      <c r="D15" s="86"/>
      <c r="F15" t="s">
        <v>731</v>
      </c>
      <c r="G15">
        <v>2008</v>
      </c>
      <c r="H15" s="225" t="s">
        <v>732</v>
      </c>
      <c r="J15" s="230" t="s">
        <v>500</v>
      </c>
      <c r="L15" s="130" t="s">
        <v>505</v>
      </c>
      <c r="M15" t="s">
        <v>1921</v>
      </c>
      <c r="N15" t="s">
        <v>1987</v>
      </c>
      <c r="O15" t="s">
        <v>1988</v>
      </c>
      <c r="P15" t="s">
        <v>1688</v>
      </c>
      <c r="Q15" s="225" t="s">
        <v>868</v>
      </c>
      <c r="S15" s="394" t="s">
        <v>1989</v>
      </c>
      <c r="T15" s="312" t="s">
        <v>1990</v>
      </c>
      <c r="U15" s="308" t="s">
        <v>1991</v>
      </c>
      <c r="V15" s="305" t="s">
        <v>1992</v>
      </c>
      <c r="W15" s="308" t="s">
        <v>720</v>
      </c>
      <c r="X15" s="310"/>
    </row>
    <row r="16" spans="1:24" ht="12.25" customHeight="1" thickTop="1">
      <c r="A16" s="81"/>
      <c r="B16" s="83"/>
      <c r="C16" s="86"/>
      <c r="D16" s="86"/>
      <c r="F16" t="s">
        <v>733</v>
      </c>
      <c r="G16">
        <v>2009</v>
      </c>
      <c r="H16" s="225" t="s">
        <v>734</v>
      </c>
      <c r="J16" s="229" t="s">
        <v>987</v>
      </c>
      <c r="L16" s="130" t="s">
        <v>506</v>
      </c>
      <c r="M16" t="s">
        <v>1933</v>
      </c>
      <c r="N16" t="s">
        <v>1689</v>
      </c>
      <c r="O16" t="s">
        <v>1727</v>
      </c>
      <c r="P16" t="s">
        <v>1690</v>
      </c>
      <c r="Q16" s="225" t="s">
        <v>868</v>
      </c>
      <c r="S16" s="395"/>
      <c r="T16" s="312" t="s">
        <v>1993</v>
      </c>
      <c r="U16" s="308" t="s">
        <v>1991</v>
      </c>
      <c r="V16" s="305" t="s">
        <v>1992</v>
      </c>
      <c r="W16" s="308" t="s">
        <v>720</v>
      </c>
      <c r="X16" s="310"/>
    </row>
    <row r="17" spans="1:24" ht="12.25" customHeight="1" thickBot="1">
      <c r="A17" s="81"/>
      <c r="B17" s="83"/>
      <c r="C17" s="86"/>
      <c r="D17" s="86"/>
      <c r="F17" t="s">
        <v>735</v>
      </c>
      <c r="G17">
        <v>2010</v>
      </c>
      <c r="H17" s="225" t="s">
        <v>736</v>
      </c>
      <c r="J17" s="230" t="s">
        <v>535</v>
      </c>
      <c r="L17" s="130" t="s">
        <v>507</v>
      </c>
      <c r="M17" t="s">
        <v>1933</v>
      </c>
      <c r="N17" t="s">
        <v>1691</v>
      </c>
      <c r="O17" t="s">
        <v>1728</v>
      </c>
      <c r="P17" t="s">
        <v>1692</v>
      </c>
      <c r="Q17" s="225" t="s">
        <v>868</v>
      </c>
      <c r="S17" s="395"/>
      <c r="T17" s="312" t="s">
        <v>1994</v>
      </c>
      <c r="U17" s="308" t="s">
        <v>1995</v>
      </c>
      <c r="V17" s="305" t="s">
        <v>1992</v>
      </c>
      <c r="W17" s="308" t="s">
        <v>720</v>
      </c>
      <c r="X17" s="310"/>
    </row>
    <row r="18" spans="1:24" ht="12.25" customHeight="1" thickTop="1" thickBot="1">
      <c r="A18" s="83"/>
      <c r="B18" s="83"/>
      <c r="C18" s="86"/>
      <c r="D18" s="86"/>
      <c r="F18" t="s">
        <v>218</v>
      </c>
      <c r="G18">
        <v>3000</v>
      </c>
      <c r="H18" s="225" t="s">
        <v>100</v>
      </c>
      <c r="J18" s="229" t="s">
        <v>988</v>
      </c>
      <c r="L18" s="132" t="s">
        <v>508</v>
      </c>
      <c r="M18" t="s">
        <v>1933</v>
      </c>
      <c r="N18" t="s">
        <v>1693</v>
      </c>
      <c r="O18" t="s">
        <v>1996</v>
      </c>
      <c r="P18" t="s">
        <v>1694</v>
      </c>
      <c r="Q18" s="225" t="s">
        <v>1980</v>
      </c>
      <c r="S18" s="395"/>
      <c r="T18" s="312" t="s">
        <v>1997</v>
      </c>
      <c r="U18" s="308" t="s">
        <v>1998</v>
      </c>
      <c r="V18" s="305" t="s">
        <v>1992</v>
      </c>
      <c r="W18" s="308" t="s">
        <v>720</v>
      </c>
      <c r="X18" s="310"/>
    </row>
    <row r="19" spans="1:24" ht="12.25" customHeight="1" thickBot="1">
      <c r="A19" s="83"/>
      <c r="B19" s="83"/>
      <c r="C19" s="86"/>
      <c r="D19" s="86"/>
      <c r="F19" t="s">
        <v>737</v>
      </c>
      <c r="G19">
        <v>3001</v>
      </c>
      <c r="H19" s="225" t="s">
        <v>738</v>
      </c>
      <c r="J19" s="230" t="s">
        <v>555</v>
      </c>
      <c r="L19" s="135" t="s">
        <v>509</v>
      </c>
      <c r="M19" t="s">
        <v>1933</v>
      </c>
      <c r="N19" t="s">
        <v>1695</v>
      </c>
      <c r="O19" t="s">
        <v>1999</v>
      </c>
      <c r="P19" t="s">
        <v>1694</v>
      </c>
      <c r="Q19" s="225" t="s">
        <v>1980</v>
      </c>
      <c r="S19" s="395"/>
      <c r="T19" s="312" t="s">
        <v>2000</v>
      </c>
      <c r="U19" s="308" t="s">
        <v>2001</v>
      </c>
      <c r="V19" s="305" t="s">
        <v>1992</v>
      </c>
      <c r="W19" s="308" t="s">
        <v>720</v>
      </c>
      <c r="X19" s="310"/>
    </row>
    <row r="20" spans="1:24" ht="13.7" thickTop="1">
      <c r="A20" s="84"/>
      <c r="B20" s="83"/>
      <c r="C20" s="86"/>
      <c r="D20" s="86"/>
      <c r="F20" t="s">
        <v>739</v>
      </c>
      <c r="G20">
        <v>3002</v>
      </c>
      <c r="H20" s="225" t="s">
        <v>740</v>
      </c>
      <c r="J20" s="229" t="s">
        <v>989</v>
      </c>
      <c r="L20" s="123" t="s">
        <v>510</v>
      </c>
      <c r="M20" t="s">
        <v>1933</v>
      </c>
      <c r="N20" t="s">
        <v>2002</v>
      </c>
      <c r="O20" t="s">
        <v>2003</v>
      </c>
      <c r="P20" t="s">
        <v>2004</v>
      </c>
      <c r="Q20" s="225" t="s">
        <v>868</v>
      </c>
      <c r="S20" s="395"/>
      <c r="T20" s="314" t="s">
        <v>2629</v>
      </c>
      <c r="U20" s="308" t="s">
        <v>2001</v>
      </c>
      <c r="V20" s="305" t="s">
        <v>1992</v>
      </c>
      <c r="W20" s="308" t="s">
        <v>720</v>
      </c>
      <c r="X20" s="310"/>
    </row>
    <row r="21" spans="1:24" ht="13.7" thickBot="1">
      <c r="F21" t="s">
        <v>741</v>
      </c>
      <c r="G21">
        <v>3003</v>
      </c>
      <c r="H21" s="225" t="s">
        <v>742</v>
      </c>
      <c r="J21" s="230" t="s">
        <v>990</v>
      </c>
      <c r="L21" s="123" t="s">
        <v>511</v>
      </c>
      <c r="M21" t="s">
        <v>1933</v>
      </c>
      <c r="N21" t="s">
        <v>2005</v>
      </c>
      <c r="O21" t="s">
        <v>2006</v>
      </c>
      <c r="P21" t="s">
        <v>1756</v>
      </c>
      <c r="Q21" s="225" t="s">
        <v>868</v>
      </c>
      <c r="S21" s="396"/>
      <c r="T21" s="314" t="s">
        <v>2628</v>
      </c>
      <c r="U21" s="308" t="s">
        <v>2001</v>
      </c>
      <c r="V21" s="305" t="s">
        <v>1992</v>
      </c>
      <c r="W21" s="308" t="s">
        <v>720</v>
      </c>
      <c r="X21" s="310"/>
    </row>
    <row r="22" spans="1:24" ht="13.7" customHeight="1" thickTop="1">
      <c r="F22" t="s">
        <v>743</v>
      </c>
      <c r="G22">
        <v>3004</v>
      </c>
      <c r="H22" s="225" t="s">
        <v>744</v>
      </c>
      <c r="J22" s="229" t="s">
        <v>564</v>
      </c>
      <c r="L22" s="141" t="s">
        <v>512</v>
      </c>
      <c r="M22" t="s">
        <v>1933</v>
      </c>
      <c r="N22" t="s">
        <v>1473</v>
      </c>
      <c r="O22" t="s">
        <v>1675</v>
      </c>
      <c r="P22" s="270" t="s">
        <v>1972</v>
      </c>
      <c r="Q22" s="270" t="s">
        <v>1973</v>
      </c>
      <c r="S22" s="317" t="s">
        <v>2008</v>
      </c>
      <c r="T22" s="311" t="s">
        <v>2007</v>
      </c>
      <c r="U22" s="308" t="s">
        <v>1991</v>
      </c>
      <c r="V22" s="305" t="s">
        <v>1992</v>
      </c>
      <c r="W22" s="308" t="s">
        <v>720</v>
      </c>
      <c r="X22" s="310"/>
    </row>
    <row r="23" spans="1:24" ht="41.05" thickBot="1">
      <c r="F23" t="s">
        <v>745</v>
      </c>
      <c r="G23">
        <v>3005</v>
      </c>
      <c r="H23" s="225" t="s">
        <v>746</v>
      </c>
      <c r="J23" s="230" t="s">
        <v>991</v>
      </c>
      <c r="L23" s="141" t="s">
        <v>512</v>
      </c>
      <c r="M23" t="s">
        <v>1933</v>
      </c>
      <c r="N23" t="s">
        <v>1696</v>
      </c>
      <c r="O23" t="s">
        <v>1729</v>
      </c>
      <c r="P23" t="s">
        <v>1685</v>
      </c>
      <c r="Q23" s="225" t="s">
        <v>868</v>
      </c>
      <c r="S23" s="317" t="s">
        <v>2008</v>
      </c>
      <c r="T23" s="311" t="s">
        <v>2009</v>
      </c>
      <c r="U23" s="305" t="s">
        <v>1985</v>
      </c>
      <c r="V23" s="305" t="s">
        <v>2010</v>
      </c>
      <c r="W23" s="308" t="s">
        <v>2011</v>
      </c>
      <c r="X23" s="310" t="s">
        <v>2012</v>
      </c>
    </row>
    <row r="24" spans="1:24" ht="13.7" thickTop="1">
      <c r="F24" t="s">
        <v>747</v>
      </c>
      <c r="G24">
        <v>3006</v>
      </c>
      <c r="H24" s="225" t="s">
        <v>748</v>
      </c>
      <c r="J24" s="229" t="s">
        <v>992</v>
      </c>
      <c r="L24" s="142" t="s">
        <v>513</v>
      </c>
      <c r="M24" t="s">
        <v>2015</v>
      </c>
      <c r="N24" t="s">
        <v>1677</v>
      </c>
      <c r="O24" t="s">
        <v>2016</v>
      </c>
      <c r="P24" t="s">
        <v>1685</v>
      </c>
      <c r="Q24" s="225" t="s">
        <v>868</v>
      </c>
      <c r="S24" s="394" t="s">
        <v>2017</v>
      </c>
      <c r="T24" s="314" t="s">
        <v>2631</v>
      </c>
      <c r="U24" s="305" t="s">
        <v>2013</v>
      </c>
      <c r="V24" s="305" t="s">
        <v>2014</v>
      </c>
      <c r="W24" s="308" t="s">
        <v>183</v>
      </c>
      <c r="X24" s="320" t="s">
        <v>2630</v>
      </c>
    </row>
    <row r="25" spans="1:24" ht="13">
      <c r="F25" t="s">
        <v>749</v>
      </c>
      <c r="G25">
        <v>3007</v>
      </c>
      <c r="H25" s="225" t="s">
        <v>750</v>
      </c>
      <c r="J25" s="232" t="s">
        <v>2020</v>
      </c>
      <c r="L25" s="130" t="s">
        <v>514</v>
      </c>
      <c r="M25" t="s">
        <v>2021</v>
      </c>
      <c r="N25" t="s">
        <v>2022</v>
      </c>
      <c r="O25" t="s">
        <v>2023</v>
      </c>
      <c r="P25" t="s">
        <v>1685</v>
      </c>
      <c r="Q25" s="225" t="s">
        <v>868</v>
      </c>
      <c r="S25" s="395"/>
      <c r="T25" s="314" t="s">
        <v>1473</v>
      </c>
      <c r="U25" s="305" t="s">
        <v>2013</v>
      </c>
      <c r="V25" s="305" t="s">
        <v>2014</v>
      </c>
      <c r="W25" s="308" t="s">
        <v>183</v>
      </c>
      <c r="X25" s="310"/>
    </row>
    <row r="26" spans="1:24" ht="13">
      <c r="F26" t="s">
        <v>751</v>
      </c>
      <c r="G26">
        <v>3008</v>
      </c>
      <c r="H26" s="225" t="s">
        <v>752</v>
      </c>
      <c r="J26" s="232" t="s">
        <v>993</v>
      </c>
      <c r="L26" s="130" t="s">
        <v>515</v>
      </c>
      <c r="M26" t="s">
        <v>2021</v>
      </c>
      <c r="N26" t="s">
        <v>1697</v>
      </c>
      <c r="O26" t="s">
        <v>2025</v>
      </c>
      <c r="P26" t="s">
        <v>1685</v>
      </c>
      <c r="Q26" s="225" t="s">
        <v>868</v>
      </c>
      <c r="S26" s="395"/>
      <c r="T26" s="311" t="s">
        <v>630</v>
      </c>
      <c r="U26" s="308" t="s">
        <v>2018</v>
      </c>
      <c r="V26" s="305" t="s">
        <v>2019</v>
      </c>
      <c r="W26" s="308" t="s">
        <v>737</v>
      </c>
      <c r="X26" s="310"/>
    </row>
    <row r="27" spans="1:24" ht="13.7" thickBot="1">
      <c r="F27" t="s">
        <v>753</v>
      </c>
      <c r="G27">
        <v>3009</v>
      </c>
      <c r="H27" s="225" t="s">
        <v>754</v>
      </c>
      <c r="J27" s="231" t="s">
        <v>994</v>
      </c>
      <c r="L27" s="130" t="s">
        <v>516</v>
      </c>
      <c r="M27" t="s">
        <v>2021</v>
      </c>
      <c r="N27" t="s">
        <v>1698</v>
      </c>
      <c r="O27" t="s">
        <v>1730</v>
      </c>
      <c r="P27" t="s">
        <v>2026</v>
      </c>
      <c r="Q27" s="225" t="s">
        <v>104</v>
      </c>
      <c r="S27" s="395"/>
      <c r="T27" s="311" t="s">
        <v>527</v>
      </c>
      <c r="U27" s="308" t="s">
        <v>2024</v>
      </c>
      <c r="V27" s="305" t="s">
        <v>2019</v>
      </c>
      <c r="W27" s="308" t="s">
        <v>737</v>
      </c>
      <c r="X27" s="310"/>
    </row>
    <row r="28" spans="1:24" ht="13.7" thickTop="1">
      <c r="F28" t="s">
        <v>755</v>
      </c>
      <c r="G28">
        <v>3010</v>
      </c>
      <c r="H28" s="225" t="s">
        <v>756</v>
      </c>
      <c r="J28" s="229" t="s">
        <v>995</v>
      </c>
      <c r="L28" s="141" t="s">
        <v>517</v>
      </c>
      <c r="M28" t="s">
        <v>1933</v>
      </c>
      <c r="N28" t="s">
        <v>2029</v>
      </c>
      <c r="O28" t="s">
        <v>2030</v>
      </c>
      <c r="P28" t="s">
        <v>1699</v>
      </c>
      <c r="Q28" s="225" t="s">
        <v>896</v>
      </c>
      <c r="S28" s="395"/>
      <c r="T28" s="311" t="s">
        <v>631</v>
      </c>
      <c r="U28" s="308" t="s">
        <v>2018</v>
      </c>
      <c r="V28" s="305" t="s">
        <v>2019</v>
      </c>
      <c r="W28" s="308" t="s">
        <v>737</v>
      </c>
      <c r="X28" s="310"/>
    </row>
    <row r="29" spans="1:24" ht="13">
      <c r="F29" t="s">
        <v>757</v>
      </c>
      <c r="G29">
        <v>3011</v>
      </c>
      <c r="H29" s="225" t="s">
        <v>758</v>
      </c>
      <c r="J29" s="232" t="s">
        <v>996</v>
      </c>
      <c r="L29" s="130" t="s">
        <v>516</v>
      </c>
      <c r="M29" t="s">
        <v>1933</v>
      </c>
      <c r="N29" t="s">
        <v>1700</v>
      </c>
      <c r="O29" t="s">
        <v>2031</v>
      </c>
      <c r="P29" t="s">
        <v>1701</v>
      </c>
      <c r="Q29" s="225" t="s">
        <v>896</v>
      </c>
      <c r="S29" s="395"/>
      <c r="T29" s="311" t="s">
        <v>632</v>
      </c>
      <c r="U29" s="308" t="s">
        <v>2027</v>
      </c>
      <c r="V29" s="305" t="s">
        <v>2028</v>
      </c>
      <c r="W29" s="308" t="s">
        <v>737</v>
      </c>
      <c r="X29" s="310"/>
    </row>
    <row r="30" spans="1:24" ht="13">
      <c r="F30" t="s">
        <v>759</v>
      </c>
      <c r="G30">
        <v>3012</v>
      </c>
      <c r="H30" s="225" t="s">
        <v>760</v>
      </c>
      <c r="J30" s="232" t="s">
        <v>997</v>
      </c>
      <c r="L30" s="141" t="s">
        <v>517</v>
      </c>
      <c r="M30" t="s">
        <v>1933</v>
      </c>
      <c r="N30" t="s">
        <v>2032</v>
      </c>
      <c r="O30" t="s">
        <v>2033</v>
      </c>
      <c r="P30" t="s">
        <v>1701</v>
      </c>
      <c r="Q30" s="225" t="s">
        <v>896</v>
      </c>
      <c r="S30" s="395"/>
      <c r="T30" s="311" t="s">
        <v>629</v>
      </c>
      <c r="U30" s="308" t="s">
        <v>2027</v>
      </c>
      <c r="V30" s="305" t="s">
        <v>2028</v>
      </c>
      <c r="W30" s="308" t="s">
        <v>737</v>
      </c>
      <c r="X30" s="310"/>
    </row>
    <row r="31" spans="1:24" ht="13.7" thickBot="1">
      <c r="F31" t="s">
        <v>761</v>
      </c>
      <c r="G31">
        <v>3013</v>
      </c>
      <c r="H31" s="225" t="s">
        <v>762</v>
      </c>
      <c r="J31" s="231" t="s">
        <v>545</v>
      </c>
      <c r="L31" s="141" t="s">
        <v>518</v>
      </c>
      <c r="M31" t="s">
        <v>1921</v>
      </c>
      <c r="N31" t="s">
        <v>1703</v>
      </c>
      <c r="O31" t="s">
        <v>2036</v>
      </c>
      <c r="P31" t="s">
        <v>1701</v>
      </c>
      <c r="Q31" s="225" t="s">
        <v>900</v>
      </c>
      <c r="S31" s="395"/>
      <c r="T31" s="311" t="s">
        <v>628</v>
      </c>
      <c r="U31" s="308" t="s">
        <v>2027</v>
      </c>
      <c r="V31" s="305" t="s">
        <v>2028</v>
      </c>
      <c r="W31" s="308" t="s">
        <v>737</v>
      </c>
      <c r="X31" s="310"/>
    </row>
    <row r="32" spans="1:24" ht="13.7" thickTop="1">
      <c r="F32" t="s">
        <v>763</v>
      </c>
      <c r="G32">
        <v>3014</v>
      </c>
      <c r="H32" s="225" t="s">
        <v>764</v>
      </c>
      <c r="J32" s="229" t="s">
        <v>546</v>
      </c>
      <c r="L32" s="146" t="s">
        <v>519</v>
      </c>
      <c r="M32" t="s">
        <v>1933</v>
      </c>
      <c r="N32" t="s">
        <v>567</v>
      </c>
      <c r="O32" t="s">
        <v>1731</v>
      </c>
      <c r="P32" t="s">
        <v>1701</v>
      </c>
      <c r="Q32" s="225" t="s">
        <v>900</v>
      </c>
      <c r="S32" s="395"/>
      <c r="T32" s="311" t="s">
        <v>626</v>
      </c>
      <c r="U32" s="308" t="s">
        <v>2034</v>
      </c>
      <c r="V32" s="305" t="s">
        <v>2035</v>
      </c>
      <c r="W32" s="308" t="s">
        <v>737</v>
      </c>
      <c r="X32" s="310"/>
    </row>
    <row r="33" spans="6:24" ht="13">
      <c r="F33" t="s">
        <v>765</v>
      </c>
      <c r="G33">
        <v>3015</v>
      </c>
      <c r="H33" s="225" t="s">
        <v>766</v>
      </c>
      <c r="J33" s="232" t="s">
        <v>547</v>
      </c>
      <c r="L33" s="123" t="s">
        <v>520</v>
      </c>
      <c r="M33" t="s">
        <v>1933</v>
      </c>
      <c r="N33" t="s">
        <v>1680</v>
      </c>
      <c r="O33" t="s">
        <v>2039</v>
      </c>
      <c r="P33" t="s">
        <v>1704</v>
      </c>
      <c r="Q33" s="225" t="s">
        <v>912</v>
      </c>
      <c r="S33" s="395"/>
      <c r="T33" s="311" t="s">
        <v>627</v>
      </c>
      <c r="U33" s="308" t="s">
        <v>2027</v>
      </c>
      <c r="V33" s="305" t="s">
        <v>2028</v>
      </c>
      <c r="W33" s="308" t="s">
        <v>737</v>
      </c>
      <c r="X33" s="310"/>
    </row>
    <row r="34" spans="6:24" ht="13.7" thickBot="1">
      <c r="F34" t="s">
        <v>767</v>
      </c>
      <c r="G34">
        <v>4000</v>
      </c>
      <c r="H34" s="225" t="s">
        <v>101</v>
      </c>
      <c r="J34" s="231" t="s">
        <v>998</v>
      </c>
      <c r="L34" s="123" t="s">
        <v>521</v>
      </c>
      <c r="M34" t="s">
        <v>1933</v>
      </c>
      <c r="N34" t="s">
        <v>1681</v>
      </c>
      <c r="O34" t="s">
        <v>1732</v>
      </c>
      <c r="P34" t="s">
        <v>1705</v>
      </c>
      <c r="Q34" s="225" t="s">
        <v>912</v>
      </c>
      <c r="S34" s="395"/>
      <c r="T34" s="311" t="s">
        <v>2037</v>
      </c>
      <c r="U34" s="308" t="s">
        <v>2038</v>
      </c>
      <c r="V34" s="305" t="s">
        <v>2028</v>
      </c>
      <c r="W34" s="308" t="s">
        <v>737</v>
      </c>
      <c r="X34" s="310"/>
    </row>
    <row r="35" spans="6:24" ht="13.7" thickTop="1">
      <c r="F35" t="s">
        <v>768</v>
      </c>
      <c r="G35">
        <v>4001</v>
      </c>
      <c r="H35" s="225" t="s">
        <v>769</v>
      </c>
      <c r="J35" s="229" t="s">
        <v>999</v>
      </c>
      <c r="L35" s="123" t="s">
        <v>522</v>
      </c>
      <c r="M35" t="s">
        <v>2015</v>
      </c>
      <c r="N35" t="s">
        <v>1706</v>
      </c>
      <c r="O35" t="s">
        <v>1733</v>
      </c>
      <c r="P35" t="s">
        <v>97</v>
      </c>
      <c r="Q35" s="225" t="s">
        <v>926</v>
      </c>
      <c r="S35" s="395"/>
      <c r="T35" s="311" t="s">
        <v>1006</v>
      </c>
      <c r="U35" s="308" t="s">
        <v>2040</v>
      </c>
      <c r="V35" s="305" t="s">
        <v>2028</v>
      </c>
      <c r="W35" s="308" t="s">
        <v>737</v>
      </c>
      <c r="X35" s="310"/>
    </row>
    <row r="36" spans="6:24" ht="13.7" thickBot="1">
      <c r="F36" t="s">
        <v>770</v>
      </c>
      <c r="G36">
        <v>4002</v>
      </c>
      <c r="H36" s="225" t="s">
        <v>771</v>
      </c>
      <c r="J36" s="230" t="s">
        <v>1000</v>
      </c>
      <c r="L36" s="123" t="s">
        <v>523</v>
      </c>
      <c r="M36" t="s">
        <v>1933</v>
      </c>
      <c r="N36" s="274" t="s">
        <v>2045</v>
      </c>
      <c r="O36" t="s">
        <v>1734</v>
      </c>
      <c r="P36" s="275" t="s">
        <v>2001</v>
      </c>
      <c r="Q36" s="275" t="s">
        <v>1992</v>
      </c>
      <c r="S36" s="398"/>
      <c r="T36" s="311" t="s">
        <v>2041</v>
      </c>
      <c r="U36" s="308" t="s">
        <v>2042</v>
      </c>
      <c r="V36" s="305" t="s">
        <v>2043</v>
      </c>
      <c r="W36" s="308" t="s">
        <v>737</v>
      </c>
      <c r="X36" s="310"/>
    </row>
    <row r="37" spans="6:24" ht="13.7" thickTop="1">
      <c r="F37" t="s">
        <v>772</v>
      </c>
      <c r="G37">
        <v>4003</v>
      </c>
      <c r="H37" s="225" t="s">
        <v>773</v>
      </c>
      <c r="J37" s="229" t="s">
        <v>2046</v>
      </c>
      <c r="L37" s="141" t="s">
        <v>524</v>
      </c>
      <c r="M37" t="s">
        <v>1933</v>
      </c>
      <c r="N37" s="278" t="s">
        <v>2047</v>
      </c>
      <c r="O37" t="s">
        <v>1735</v>
      </c>
      <c r="P37" s="276" t="s">
        <v>2038</v>
      </c>
      <c r="Q37" s="277" t="s">
        <v>2028</v>
      </c>
      <c r="S37" s="398"/>
      <c r="T37" s="311" t="s">
        <v>509</v>
      </c>
      <c r="U37" s="308" t="s">
        <v>2044</v>
      </c>
      <c r="V37" s="305" t="s">
        <v>2028</v>
      </c>
      <c r="W37" s="308" t="s">
        <v>737</v>
      </c>
      <c r="X37" s="310"/>
    </row>
    <row r="38" spans="6:24" ht="13.7" thickBot="1">
      <c r="F38" t="s">
        <v>774</v>
      </c>
      <c r="G38">
        <v>4004</v>
      </c>
      <c r="H38" s="225" t="s">
        <v>775</v>
      </c>
      <c r="J38" s="230" t="s">
        <v>548</v>
      </c>
      <c r="L38" s="148" t="s">
        <v>525</v>
      </c>
      <c r="M38" t="s">
        <v>1933</v>
      </c>
      <c r="N38" s="285" t="s">
        <v>2048</v>
      </c>
      <c r="O38" t="s">
        <v>2049</v>
      </c>
      <c r="P38" s="286" t="s">
        <v>2050</v>
      </c>
      <c r="Q38" s="286" t="s">
        <v>2051</v>
      </c>
      <c r="S38" s="398"/>
      <c r="T38" s="311" t="s">
        <v>1711</v>
      </c>
      <c r="U38" s="308" t="s">
        <v>2038</v>
      </c>
      <c r="V38" s="305" t="s">
        <v>2028</v>
      </c>
      <c r="W38" s="308" t="s">
        <v>737</v>
      </c>
      <c r="X38" s="310"/>
    </row>
    <row r="39" spans="6:24" ht="13.7" thickTop="1">
      <c r="F39" t="s">
        <v>776</v>
      </c>
      <c r="G39">
        <v>4005</v>
      </c>
      <c r="H39" s="225" t="s">
        <v>777</v>
      </c>
      <c r="J39" s="229" t="s">
        <v>550</v>
      </c>
      <c r="L39" s="141" t="s">
        <v>525</v>
      </c>
      <c r="M39" t="s">
        <v>1933</v>
      </c>
      <c r="N39" s="282" t="s">
        <v>2052</v>
      </c>
      <c r="O39" t="s">
        <v>2053</v>
      </c>
      <c r="P39" s="282"/>
      <c r="Q39" s="283"/>
      <c r="S39" s="398"/>
      <c r="T39" s="311" t="s">
        <v>633</v>
      </c>
      <c r="U39" s="308" t="s">
        <v>2027</v>
      </c>
      <c r="V39" s="305" t="s">
        <v>2028</v>
      </c>
      <c r="W39" s="308" t="s">
        <v>737</v>
      </c>
      <c r="X39" s="310"/>
    </row>
    <row r="40" spans="6:24" ht="13.7" thickBot="1">
      <c r="F40" t="s">
        <v>778</v>
      </c>
      <c r="G40">
        <v>4006</v>
      </c>
      <c r="H40" s="225" t="s">
        <v>779</v>
      </c>
      <c r="J40" s="230" t="s">
        <v>2055</v>
      </c>
      <c r="L40" s="141" t="s">
        <v>525</v>
      </c>
      <c r="M40" t="s">
        <v>1933</v>
      </c>
      <c r="N40" s="278" t="s">
        <v>2056</v>
      </c>
      <c r="O40" s="287" t="s">
        <v>2057</v>
      </c>
      <c r="P40" s="276" t="s">
        <v>2038</v>
      </c>
      <c r="Q40" s="277" t="s">
        <v>2028</v>
      </c>
      <c r="S40" s="398"/>
      <c r="T40" s="311" t="s">
        <v>625</v>
      </c>
      <c r="U40" s="308" t="s">
        <v>2027</v>
      </c>
      <c r="V40" s="305" t="s">
        <v>2028</v>
      </c>
      <c r="W40" s="308" t="s">
        <v>737</v>
      </c>
      <c r="X40" s="310"/>
    </row>
    <row r="41" spans="6:24" ht="13.7" thickTop="1">
      <c r="F41" t="s">
        <v>780</v>
      </c>
      <c r="G41">
        <v>4007</v>
      </c>
      <c r="H41" s="225" t="s">
        <v>781</v>
      </c>
      <c r="J41" s="229" t="s">
        <v>552</v>
      </c>
      <c r="L41" s="141" t="s">
        <v>526</v>
      </c>
      <c r="M41" t="s">
        <v>1933</v>
      </c>
      <c r="N41" s="284" t="s">
        <v>2058</v>
      </c>
      <c r="O41" t="s">
        <v>1736</v>
      </c>
      <c r="P41" s="282"/>
      <c r="Q41" s="283"/>
      <c r="S41" s="398"/>
      <c r="T41" s="311" t="s">
        <v>2054</v>
      </c>
      <c r="U41" s="308" t="s">
        <v>2044</v>
      </c>
      <c r="V41" s="305" t="s">
        <v>2028</v>
      </c>
      <c r="W41" s="308" t="s">
        <v>737</v>
      </c>
      <c r="X41" s="310"/>
    </row>
    <row r="42" spans="6:24" ht="13.7" customHeight="1" thickBot="1">
      <c r="F42" t="s">
        <v>782</v>
      </c>
      <c r="G42">
        <v>4008</v>
      </c>
      <c r="H42" s="225" t="s">
        <v>783</v>
      </c>
      <c r="J42" s="230" t="s">
        <v>551</v>
      </c>
      <c r="L42" s="118" t="s">
        <v>527</v>
      </c>
      <c r="M42" t="s">
        <v>2062</v>
      </c>
      <c r="N42" s="279" t="s">
        <v>2063</v>
      </c>
      <c r="O42" s="279" t="s">
        <v>2064</v>
      </c>
      <c r="P42" s="280" t="s">
        <v>2065</v>
      </c>
      <c r="Q42" s="280"/>
      <c r="S42" s="398"/>
      <c r="T42" s="311" t="s">
        <v>1712</v>
      </c>
      <c r="U42" s="308" t="s">
        <v>2040</v>
      </c>
      <c r="V42" s="305" t="s">
        <v>2028</v>
      </c>
      <c r="W42" s="308" t="s">
        <v>737</v>
      </c>
      <c r="X42" s="310"/>
    </row>
    <row r="43" spans="6:24" ht="13.7" thickTop="1">
      <c r="F43" t="s">
        <v>784</v>
      </c>
      <c r="G43">
        <v>4009</v>
      </c>
      <c r="H43" s="225" t="s">
        <v>785</v>
      </c>
      <c r="J43" s="229" t="s">
        <v>553</v>
      </c>
      <c r="L43" s="118" t="s">
        <v>528</v>
      </c>
      <c r="M43" t="s">
        <v>2062</v>
      </c>
      <c r="N43" s="279" t="s">
        <v>1721</v>
      </c>
      <c r="O43" t="s">
        <v>1737</v>
      </c>
      <c r="P43" s="280"/>
      <c r="Q43" s="280"/>
      <c r="S43" s="398"/>
      <c r="T43" s="311" t="s">
        <v>2059</v>
      </c>
      <c r="U43" s="308" t="s">
        <v>2060</v>
      </c>
      <c r="V43" s="305" t="s">
        <v>2061</v>
      </c>
      <c r="W43" s="308" t="s">
        <v>737</v>
      </c>
      <c r="X43" s="310"/>
    </row>
    <row r="44" spans="6:24" ht="41.05" thickBot="1">
      <c r="F44" t="s">
        <v>786</v>
      </c>
      <c r="G44">
        <v>4010</v>
      </c>
      <c r="H44" s="225" t="s">
        <v>787</v>
      </c>
      <c r="J44" s="230" t="s">
        <v>572</v>
      </c>
      <c r="L44" s="123" t="s">
        <v>529</v>
      </c>
      <c r="M44" t="s">
        <v>2062</v>
      </c>
      <c r="N44" s="279" t="s">
        <v>2069</v>
      </c>
      <c r="O44" t="s">
        <v>1738</v>
      </c>
      <c r="P44" s="280"/>
      <c r="Q44" s="280"/>
      <c r="S44" s="313" t="s">
        <v>2070</v>
      </c>
      <c r="T44" s="311" t="s">
        <v>2066</v>
      </c>
      <c r="U44" s="308" t="s">
        <v>2067</v>
      </c>
      <c r="V44" s="305" t="s">
        <v>2061</v>
      </c>
      <c r="W44" s="308" t="s">
        <v>737</v>
      </c>
      <c r="X44" s="310"/>
    </row>
    <row r="45" spans="6:24" ht="25.2" customHeight="1" thickTop="1">
      <c r="F45" t="s">
        <v>788</v>
      </c>
      <c r="G45">
        <v>4011</v>
      </c>
      <c r="H45" s="225" t="s">
        <v>789</v>
      </c>
      <c r="J45" s="229" t="s">
        <v>571</v>
      </c>
      <c r="L45" s="221" t="s">
        <v>2075</v>
      </c>
      <c r="M45" t="s">
        <v>2062</v>
      </c>
      <c r="N45" s="281" t="s">
        <v>2076</v>
      </c>
      <c r="O45" t="s">
        <v>1739</v>
      </c>
      <c r="P45" s="280"/>
      <c r="Q45" s="280"/>
      <c r="S45" s="394" t="s">
        <v>2070</v>
      </c>
      <c r="T45" s="311" t="s">
        <v>2068</v>
      </c>
      <c r="U45" s="308" t="s">
        <v>2067</v>
      </c>
      <c r="V45" s="305" t="s">
        <v>2061</v>
      </c>
      <c r="W45" s="308" t="s">
        <v>737</v>
      </c>
      <c r="X45" s="310"/>
    </row>
    <row r="46" spans="6:24" ht="13.7" thickBot="1">
      <c r="F46" t="s">
        <v>790</v>
      </c>
      <c r="G46">
        <v>4012</v>
      </c>
      <c r="H46" s="225" t="s">
        <v>791</v>
      </c>
      <c r="J46" s="230" t="s">
        <v>2080</v>
      </c>
      <c r="L46" s="123" t="s">
        <v>530</v>
      </c>
      <c r="M46" t="s">
        <v>2062</v>
      </c>
      <c r="N46" t="s">
        <v>2081</v>
      </c>
      <c r="O46" t="s">
        <v>2082</v>
      </c>
      <c r="P46" s="276" t="s">
        <v>2040</v>
      </c>
      <c r="Q46" s="277" t="s">
        <v>2028</v>
      </c>
      <c r="S46" s="396"/>
      <c r="T46" s="311" t="s">
        <v>2071</v>
      </c>
      <c r="U46" s="308" t="s">
        <v>2072</v>
      </c>
      <c r="V46" s="305" t="s">
        <v>2073</v>
      </c>
      <c r="W46" s="308" t="s">
        <v>2074</v>
      </c>
      <c r="X46" s="310"/>
    </row>
    <row r="47" spans="6:24" ht="25.2" customHeight="1" thickTop="1">
      <c r="F47" t="s">
        <v>792</v>
      </c>
      <c r="G47">
        <v>4013</v>
      </c>
      <c r="H47" s="225" t="s">
        <v>793</v>
      </c>
      <c r="J47" s="229" t="s">
        <v>587</v>
      </c>
      <c r="L47" s="123" t="s">
        <v>531</v>
      </c>
      <c r="M47" t="s">
        <v>1933</v>
      </c>
      <c r="N47" t="s">
        <v>1751</v>
      </c>
      <c r="O47" t="s">
        <v>1752</v>
      </c>
      <c r="P47" t="s">
        <v>2087</v>
      </c>
      <c r="Q47" s="225" t="s">
        <v>2088</v>
      </c>
      <c r="S47" s="313" t="s">
        <v>2089</v>
      </c>
      <c r="T47" s="311" t="s">
        <v>2077</v>
      </c>
      <c r="U47" s="308" t="s">
        <v>2072</v>
      </c>
      <c r="V47" s="305" t="s">
        <v>2078</v>
      </c>
      <c r="W47" s="308" t="s">
        <v>2079</v>
      </c>
      <c r="X47" s="310"/>
    </row>
    <row r="48" spans="6:24" ht="13.7" thickBot="1">
      <c r="F48" t="s">
        <v>794</v>
      </c>
      <c r="G48">
        <v>4014</v>
      </c>
      <c r="H48" s="225" t="s">
        <v>795</v>
      </c>
      <c r="J48" s="230" t="s">
        <v>579</v>
      </c>
      <c r="L48" s="123" t="s">
        <v>532</v>
      </c>
      <c r="M48" t="s">
        <v>1933</v>
      </c>
      <c r="N48" t="s">
        <v>2093</v>
      </c>
      <c r="O48" t="s">
        <v>2094</v>
      </c>
      <c r="P48" t="s">
        <v>1981</v>
      </c>
      <c r="Q48" s="225" t="s">
        <v>869</v>
      </c>
      <c r="S48" s="394" t="s">
        <v>2095</v>
      </c>
      <c r="T48" s="311" t="s">
        <v>2083</v>
      </c>
      <c r="U48" s="308" t="s">
        <v>2084</v>
      </c>
      <c r="V48" s="305" t="s">
        <v>2085</v>
      </c>
      <c r="W48" s="308" t="s">
        <v>2086</v>
      </c>
      <c r="X48" s="310"/>
    </row>
    <row r="49" spans="6:24" ht="13.7" thickTop="1">
      <c r="F49" t="s">
        <v>796</v>
      </c>
      <c r="G49">
        <v>4015</v>
      </c>
      <c r="H49" s="225" t="s">
        <v>797</v>
      </c>
      <c r="J49" s="229" t="s">
        <v>2100</v>
      </c>
      <c r="L49" s="123" t="s">
        <v>533</v>
      </c>
      <c r="M49" t="s">
        <v>1933</v>
      </c>
      <c r="N49" t="s">
        <v>1173</v>
      </c>
      <c r="O49" t="s">
        <v>2101</v>
      </c>
      <c r="P49" t="s">
        <v>2087</v>
      </c>
      <c r="Q49" s="225" t="s">
        <v>2088</v>
      </c>
      <c r="S49" s="395"/>
      <c r="T49" s="311" t="s">
        <v>2090</v>
      </c>
      <c r="U49" s="308" t="s">
        <v>2084</v>
      </c>
      <c r="V49" s="305" t="s">
        <v>2091</v>
      </c>
      <c r="W49" s="308" t="s">
        <v>2092</v>
      </c>
      <c r="X49" s="310"/>
    </row>
    <row r="50" spans="6:24" ht="13.7" thickBot="1">
      <c r="F50" t="s">
        <v>798</v>
      </c>
      <c r="G50">
        <v>4016</v>
      </c>
      <c r="H50" s="225" t="s">
        <v>799</v>
      </c>
      <c r="J50" s="230" t="s">
        <v>2104</v>
      </c>
      <c r="L50" s="123" t="s">
        <v>534</v>
      </c>
      <c r="M50" t="s">
        <v>1933</v>
      </c>
      <c r="N50" t="s">
        <v>592</v>
      </c>
      <c r="O50" t="s">
        <v>2105</v>
      </c>
      <c r="P50" t="s">
        <v>2004</v>
      </c>
      <c r="Q50" s="225" t="s">
        <v>868</v>
      </c>
      <c r="S50" s="395"/>
      <c r="T50" s="311" t="s">
        <v>2096</v>
      </c>
      <c r="U50" s="305" t="s">
        <v>2097</v>
      </c>
      <c r="V50" s="305" t="s">
        <v>2098</v>
      </c>
      <c r="W50" s="308" t="s">
        <v>2099</v>
      </c>
      <c r="X50" s="310"/>
    </row>
    <row r="51" spans="6:24" ht="13.7" thickTop="1">
      <c r="F51" t="s">
        <v>800</v>
      </c>
      <c r="G51">
        <v>4017</v>
      </c>
      <c r="H51" s="225" t="s">
        <v>801</v>
      </c>
      <c r="J51" s="229" t="s">
        <v>583</v>
      </c>
      <c r="L51" s="118" t="s">
        <v>535</v>
      </c>
      <c r="M51" t="s">
        <v>1933</v>
      </c>
      <c r="N51" t="s">
        <v>2107</v>
      </c>
      <c r="O51" t="s">
        <v>2108</v>
      </c>
      <c r="P51" s="273" t="s">
        <v>2109</v>
      </c>
      <c r="Q51" s="225" t="s">
        <v>926</v>
      </c>
      <c r="S51" s="395"/>
      <c r="T51" s="311" t="s">
        <v>2102</v>
      </c>
      <c r="U51" s="305" t="s">
        <v>2103</v>
      </c>
      <c r="V51" s="305" t="s">
        <v>2098</v>
      </c>
      <c r="W51" s="308" t="s">
        <v>2099</v>
      </c>
      <c r="X51" s="310"/>
    </row>
    <row r="52" spans="6:24" ht="13.7" thickBot="1">
      <c r="F52" t="s">
        <v>802</v>
      </c>
      <c r="G52">
        <v>4018</v>
      </c>
      <c r="H52" s="225" t="s">
        <v>803</v>
      </c>
      <c r="J52" s="230" t="s">
        <v>1001</v>
      </c>
      <c r="L52" s="118" t="s">
        <v>536</v>
      </c>
      <c r="M52" t="s">
        <v>1933</v>
      </c>
      <c r="N52" t="s">
        <v>2111</v>
      </c>
      <c r="O52" t="s">
        <v>2112</v>
      </c>
      <c r="P52" t="s">
        <v>1935</v>
      </c>
      <c r="Q52" s="225" t="s">
        <v>1936</v>
      </c>
      <c r="S52" s="395"/>
      <c r="T52" s="311" t="s">
        <v>2106</v>
      </c>
      <c r="U52" s="305" t="s">
        <v>2097</v>
      </c>
      <c r="V52" s="305" t="s">
        <v>2098</v>
      </c>
      <c r="W52" s="308" t="s">
        <v>2099</v>
      </c>
      <c r="X52" s="310"/>
    </row>
    <row r="53" spans="6:24" ht="13.7" thickTop="1">
      <c r="F53" t="s">
        <v>804</v>
      </c>
      <c r="G53">
        <v>4019</v>
      </c>
      <c r="H53" s="225" t="s">
        <v>805</v>
      </c>
      <c r="J53" s="229" t="s">
        <v>1002</v>
      </c>
      <c r="L53" s="118" t="s">
        <v>537</v>
      </c>
      <c r="M53" t="s">
        <v>1933</v>
      </c>
      <c r="N53" t="s">
        <v>515</v>
      </c>
      <c r="O53" t="s">
        <v>2116</v>
      </c>
      <c r="P53" t="s">
        <v>2117</v>
      </c>
      <c r="Q53" s="225" t="s">
        <v>2118</v>
      </c>
      <c r="S53" s="396"/>
      <c r="T53" s="311" t="s">
        <v>2110</v>
      </c>
      <c r="U53" s="305" t="s">
        <v>2103</v>
      </c>
      <c r="V53" s="305" t="s">
        <v>2098</v>
      </c>
      <c r="W53" s="308" t="s">
        <v>2099</v>
      </c>
      <c r="X53" s="310"/>
    </row>
    <row r="54" spans="6:24" ht="13.7" thickBot="1">
      <c r="F54" t="s">
        <v>806</v>
      </c>
      <c r="G54">
        <v>4020</v>
      </c>
      <c r="H54" s="225" t="s">
        <v>807</v>
      </c>
      <c r="J54" s="230" t="s">
        <v>581</v>
      </c>
      <c r="L54" s="118" t="s">
        <v>253</v>
      </c>
      <c r="M54" t="s">
        <v>1933</v>
      </c>
      <c r="N54" t="s">
        <v>2120</v>
      </c>
      <c r="O54" t="s">
        <v>2121</v>
      </c>
      <c r="P54" t="s">
        <v>2122</v>
      </c>
      <c r="Q54" s="225" t="s">
        <v>2123</v>
      </c>
      <c r="S54" s="394" t="s">
        <v>2124</v>
      </c>
      <c r="T54" s="311" t="s">
        <v>2113</v>
      </c>
      <c r="U54" s="305" t="s">
        <v>2097</v>
      </c>
      <c r="V54" s="305" t="s">
        <v>2114</v>
      </c>
      <c r="W54" s="308" t="s">
        <v>2115</v>
      </c>
      <c r="X54" s="310"/>
    </row>
    <row r="55" spans="6:24" ht="13.7" customHeight="1" thickTop="1">
      <c r="F55" t="s">
        <v>808</v>
      </c>
      <c r="G55">
        <v>5000</v>
      </c>
      <c r="H55" s="225" t="s">
        <v>89</v>
      </c>
      <c r="J55" s="229" t="s">
        <v>585</v>
      </c>
      <c r="L55" s="118" t="s">
        <v>255</v>
      </c>
      <c r="M55" t="s">
        <v>2062</v>
      </c>
      <c r="S55" s="395"/>
      <c r="T55" s="311" t="s">
        <v>2119</v>
      </c>
      <c r="U55" s="305" t="s">
        <v>2103</v>
      </c>
      <c r="V55" s="305" t="s">
        <v>2114</v>
      </c>
      <c r="W55" s="308" t="s">
        <v>2115</v>
      </c>
      <c r="X55" s="310"/>
    </row>
    <row r="56" spans="6:24" ht="13.7" thickBot="1">
      <c r="F56" t="s">
        <v>809</v>
      </c>
      <c r="G56">
        <v>5001</v>
      </c>
      <c r="H56" s="225" t="s">
        <v>810</v>
      </c>
      <c r="J56" s="230" t="s">
        <v>580</v>
      </c>
      <c r="L56" s="118" t="s">
        <v>257</v>
      </c>
      <c r="M56" t="s">
        <v>1933</v>
      </c>
      <c r="S56" s="395"/>
      <c r="T56" s="311" t="s">
        <v>1003</v>
      </c>
      <c r="U56" s="305" t="s">
        <v>2125</v>
      </c>
      <c r="V56" s="305" t="s">
        <v>2126</v>
      </c>
      <c r="W56" s="308" t="s">
        <v>809</v>
      </c>
      <c r="X56" s="310" t="s">
        <v>2127</v>
      </c>
    </row>
    <row r="57" spans="6:24" ht="13.7" thickTop="1">
      <c r="F57" t="s">
        <v>811</v>
      </c>
      <c r="G57">
        <v>5002</v>
      </c>
      <c r="H57" s="225" t="s">
        <v>812</v>
      </c>
      <c r="J57" s="229" t="s">
        <v>1003</v>
      </c>
      <c r="L57" s="118" t="s">
        <v>259</v>
      </c>
      <c r="M57" t="s">
        <v>1933</v>
      </c>
      <c r="S57" s="395"/>
      <c r="T57" s="311" t="s">
        <v>2128</v>
      </c>
      <c r="U57" s="305" t="s">
        <v>1792</v>
      </c>
      <c r="V57" s="305" t="s">
        <v>2129</v>
      </c>
      <c r="W57" s="308" t="s">
        <v>809</v>
      </c>
      <c r="X57" s="310" t="s">
        <v>2130</v>
      </c>
    </row>
    <row r="58" spans="6:24" ht="13.7" thickBot="1">
      <c r="F58" t="s">
        <v>813</v>
      </c>
      <c r="G58">
        <v>5003</v>
      </c>
      <c r="H58" s="225" t="s">
        <v>814</v>
      </c>
      <c r="J58" s="230" t="s">
        <v>590</v>
      </c>
      <c r="L58" s="151" t="s">
        <v>538</v>
      </c>
      <c r="M58" t="s">
        <v>1933</v>
      </c>
      <c r="N58" t="s">
        <v>2133</v>
      </c>
      <c r="P58" t="s">
        <v>1793</v>
      </c>
      <c r="Q58" s="225" t="s">
        <v>706</v>
      </c>
      <c r="S58" s="395"/>
      <c r="T58" s="314" t="s">
        <v>2627</v>
      </c>
      <c r="U58" s="305" t="s">
        <v>2131</v>
      </c>
      <c r="V58" s="305" t="s">
        <v>2129</v>
      </c>
      <c r="W58" s="308" t="s">
        <v>809</v>
      </c>
      <c r="X58" s="310" t="s">
        <v>2130</v>
      </c>
    </row>
    <row r="59" spans="6:24" ht="13.7" thickTop="1">
      <c r="F59" t="s">
        <v>815</v>
      </c>
      <c r="G59">
        <v>5004</v>
      </c>
      <c r="H59" s="225" t="s">
        <v>816</v>
      </c>
      <c r="J59" s="229" t="s">
        <v>2135</v>
      </c>
      <c r="L59" s="155" t="s">
        <v>539</v>
      </c>
      <c r="M59" t="s">
        <v>1933</v>
      </c>
      <c r="N59" t="s">
        <v>1280</v>
      </c>
      <c r="P59" t="s">
        <v>1793</v>
      </c>
      <c r="Q59" s="225" t="s">
        <v>706</v>
      </c>
      <c r="S59" s="395"/>
      <c r="T59" s="314" t="s">
        <v>2132</v>
      </c>
      <c r="U59" s="305" t="s">
        <v>1792</v>
      </c>
      <c r="V59" s="305" t="s">
        <v>2129</v>
      </c>
      <c r="W59" s="308" t="s">
        <v>809</v>
      </c>
      <c r="X59" s="310" t="s">
        <v>2130</v>
      </c>
    </row>
    <row r="60" spans="6:24" ht="25.95" customHeight="1" thickBot="1">
      <c r="F60" t="s">
        <v>817</v>
      </c>
      <c r="G60">
        <v>5005</v>
      </c>
      <c r="H60" s="225" t="s">
        <v>818</v>
      </c>
      <c r="J60" s="230" t="s">
        <v>1004</v>
      </c>
      <c r="L60" s="130" t="s">
        <v>540</v>
      </c>
      <c r="M60" t="s">
        <v>1933</v>
      </c>
      <c r="N60" t="s">
        <v>981</v>
      </c>
      <c r="P60" t="s">
        <v>90</v>
      </c>
      <c r="Q60" s="225" t="s">
        <v>719</v>
      </c>
      <c r="S60" s="395"/>
      <c r="T60" s="314" t="s">
        <v>2134</v>
      </c>
      <c r="U60" s="305" t="s">
        <v>1792</v>
      </c>
      <c r="V60" s="305" t="s">
        <v>2129</v>
      </c>
      <c r="W60" s="308" t="s">
        <v>809</v>
      </c>
      <c r="X60" s="310" t="s">
        <v>2130</v>
      </c>
    </row>
    <row r="61" spans="6:24" ht="13.7" thickTop="1">
      <c r="F61" t="s">
        <v>819</v>
      </c>
      <c r="G61">
        <v>5006</v>
      </c>
      <c r="H61" s="225" t="s">
        <v>820</v>
      </c>
      <c r="J61" s="229" t="s">
        <v>1005</v>
      </c>
      <c r="L61" s="130" t="s">
        <v>541</v>
      </c>
      <c r="M61" t="s">
        <v>1933</v>
      </c>
      <c r="N61" t="s">
        <v>1606</v>
      </c>
      <c r="P61" t="s">
        <v>90</v>
      </c>
      <c r="Q61" s="225" t="s">
        <v>719</v>
      </c>
      <c r="S61" s="395"/>
      <c r="T61" s="314" t="s">
        <v>2136</v>
      </c>
      <c r="U61" s="305" t="s">
        <v>1792</v>
      </c>
      <c r="V61" s="305" t="s">
        <v>2129</v>
      </c>
      <c r="W61" s="308" t="s">
        <v>809</v>
      </c>
      <c r="X61" s="310" t="s">
        <v>2130</v>
      </c>
    </row>
    <row r="62" spans="6:24" ht="13.7" thickBot="1">
      <c r="F62" t="s">
        <v>821</v>
      </c>
      <c r="G62">
        <v>5007</v>
      </c>
      <c r="H62" s="225" t="s">
        <v>822</v>
      </c>
      <c r="J62" s="230" t="s">
        <v>1006</v>
      </c>
      <c r="L62" s="130" t="s">
        <v>542</v>
      </c>
      <c r="M62" t="s">
        <v>1933</v>
      </c>
      <c r="N62" t="s">
        <v>494</v>
      </c>
      <c r="P62" t="s">
        <v>1795</v>
      </c>
      <c r="Q62" s="225" t="s">
        <v>721</v>
      </c>
      <c r="S62" s="395"/>
      <c r="T62" s="314" t="s">
        <v>1794</v>
      </c>
      <c r="U62" s="305" t="s">
        <v>2131</v>
      </c>
      <c r="V62" s="305" t="s">
        <v>2129</v>
      </c>
      <c r="W62" s="308" t="s">
        <v>809</v>
      </c>
      <c r="X62" s="310" t="s">
        <v>2130</v>
      </c>
    </row>
    <row r="63" spans="6:24" ht="13.7" thickTop="1">
      <c r="F63" t="s">
        <v>823</v>
      </c>
      <c r="G63">
        <v>5008</v>
      </c>
      <c r="H63" s="225" t="s">
        <v>824</v>
      </c>
      <c r="J63" s="229" t="s">
        <v>516</v>
      </c>
      <c r="L63" s="130" t="s">
        <v>543</v>
      </c>
      <c r="M63" t="s">
        <v>1933</v>
      </c>
      <c r="N63" t="s">
        <v>493</v>
      </c>
      <c r="P63" t="s">
        <v>1796</v>
      </c>
      <c r="Q63" s="225" t="s">
        <v>721</v>
      </c>
      <c r="S63" s="395"/>
      <c r="T63" s="314" t="s">
        <v>2137</v>
      </c>
      <c r="U63" s="305" t="s">
        <v>2131</v>
      </c>
      <c r="V63" s="305" t="s">
        <v>2129</v>
      </c>
      <c r="W63" s="308" t="s">
        <v>809</v>
      </c>
      <c r="X63" s="310"/>
    </row>
    <row r="64" spans="6:24" ht="13.7" thickBot="1">
      <c r="F64" t="s">
        <v>825</v>
      </c>
      <c r="G64">
        <v>5009</v>
      </c>
      <c r="H64" s="225" t="s">
        <v>826</v>
      </c>
      <c r="J64" s="230" t="s">
        <v>1007</v>
      </c>
      <c r="L64" s="130" t="s">
        <v>544</v>
      </c>
      <c r="M64" t="s">
        <v>1933</v>
      </c>
      <c r="N64" t="s">
        <v>1797</v>
      </c>
      <c r="P64" t="s">
        <v>1796</v>
      </c>
      <c r="Q64" s="225" t="s">
        <v>721</v>
      </c>
      <c r="S64" s="395"/>
      <c r="T64" s="311" t="s">
        <v>2138</v>
      </c>
      <c r="U64" s="305" t="s">
        <v>2131</v>
      </c>
      <c r="V64" s="305" t="s">
        <v>2129</v>
      </c>
      <c r="W64" s="308" t="s">
        <v>809</v>
      </c>
      <c r="X64" s="310" t="s">
        <v>2139</v>
      </c>
    </row>
    <row r="65" spans="6:24" ht="13.7" thickTop="1">
      <c r="F65" t="s">
        <v>827</v>
      </c>
      <c r="G65">
        <v>5010</v>
      </c>
      <c r="H65" s="225" t="s">
        <v>828</v>
      </c>
      <c r="J65" s="229" t="s">
        <v>525</v>
      </c>
      <c r="L65" s="130" t="s">
        <v>545</v>
      </c>
      <c r="M65" t="s">
        <v>1933</v>
      </c>
      <c r="N65" t="s">
        <v>504</v>
      </c>
      <c r="P65" t="s">
        <v>90</v>
      </c>
      <c r="Q65" s="225" t="s">
        <v>723</v>
      </c>
      <c r="S65" s="396"/>
      <c r="T65" s="311" t="s">
        <v>2140</v>
      </c>
      <c r="U65" s="305" t="s">
        <v>2131</v>
      </c>
      <c r="V65" s="305" t="s">
        <v>2129</v>
      </c>
      <c r="W65" s="308" t="s">
        <v>809</v>
      </c>
      <c r="X65" s="310" t="s">
        <v>2139</v>
      </c>
    </row>
    <row r="66" spans="6:24" ht="13.7" thickBot="1">
      <c r="F66" t="s">
        <v>829</v>
      </c>
      <c r="G66">
        <v>5011</v>
      </c>
      <c r="H66" s="225" t="s">
        <v>830</v>
      </c>
      <c r="J66" s="230" t="s">
        <v>512</v>
      </c>
      <c r="L66" s="130" t="s">
        <v>546</v>
      </c>
      <c r="M66" t="s">
        <v>1933</v>
      </c>
      <c r="N66" t="s">
        <v>1798</v>
      </c>
      <c r="P66" t="s">
        <v>1799</v>
      </c>
      <c r="Q66" s="225" t="s">
        <v>724</v>
      </c>
      <c r="S66" s="394" t="s">
        <v>2143</v>
      </c>
      <c r="T66" s="311" t="s">
        <v>2141</v>
      </c>
      <c r="U66" s="305" t="s">
        <v>1792</v>
      </c>
      <c r="V66" s="305" t="s">
        <v>2129</v>
      </c>
      <c r="W66" s="308" t="s">
        <v>809</v>
      </c>
      <c r="X66" s="310" t="s">
        <v>2139</v>
      </c>
    </row>
    <row r="67" spans="6:24" ht="13.7" customHeight="1" thickTop="1">
      <c r="F67" t="s">
        <v>831</v>
      </c>
      <c r="G67">
        <v>5012</v>
      </c>
      <c r="H67" s="225" t="s">
        <v>832</v>
      </c>
      <c r="J67" s="229" t="s">
        <v>1008</v>
      </c>
      <c r="L67" s="157" t="s">
        <v>547</v>
      </c>
      <c r="M67" t="s">
        <v>2062</v>
      </c>
      <c r="N67" t="s">
        <v>688</v>
      </c>
      <c r="P67" t="s">
        <v>91</v>
      </c>
      <c r="Q67" s="225" t="s">
        <v>738</v>
      </c>
      <c r="S67" s="395"/>
      <c r="T67" s="311" t="s">
        <v>2142</v>
      </c>
      <c r="U67" s="305" t="s">
        <v>1792</v>
      </c>
      <c r="V67" s="305" t="s">
        <v>2129</v>
      </c>
      <c r="W67" s="308" t="s">
        <v>809</v>
      </c>
      <c r="X67" s="310" t="s">
        <v>2139</v>
      </c>
    </row>
    <row r="68" spans="6:24" ht="13.7" thickBot="1">
      <c r="F68" t="s">
        <v>833</v>
      </c>
      <c r="G68">
        <v>5013</v>
      </c>
      <c r="H68" s="225" t="s">
        <v>834</v>
      </c>
      <c r="J68" s="230" t="s">
        <v>1009</v>
      </c>
      <c r="L68" s="130" t="s">
        <v>548</v>
      </c>
      <c r="M68" t="s">
        <v>1933</v>
      </c>
      <c r="N68" t="s">
        <v>626</v>
      </c>
      <c r="P68" t="s">
        <v>1800</v>
      </c>
      <c r="Q68" s="225" t="s">
        <v>738</v>
      </c>
      <c r="S68" s="395"/>
      <c r="T68" s="314" t="s">
        <v>2144</v>
      </c>
      <c r="U68" s="305" t="s">
        <v>2145</v>
      </c>
      <c r="V68" s="305" t="s">
        <v>2146</v>
      </c>
      <c r="W68" s="308" t="s">
        <v>811</v>
      </c>
      <c r="X68" s="310" t="s">
        <v>2127</v>
      </c>
    </row>
    <row r="69" spans="6:24" ht="13.7" customHeight="1" thickTop="1">
      <c r="F69" t="s">
        <v>835</v>
      </c>
      <c r="G69">
        <v>5014</v>
      </c>
      <c r="H69" s="225" t="s">
        <v>836</v>
      </c>
      <c r="J69" s="229" t="s">
        <v>1010</v>
      </c>
      <c r="L69" s="141" t="s">
        <v>549</v>
      </c>
      <c r="M69" t="s">
        <v>1933</v>
      </c>
      <c r="N69" t="s">
        <v>687</v>
      </c>
      <c r="P69" t="s">
        <v>204</v>
      </c>
      <c r="Q69" s="225" t="s">
        <v>738</v>
      </c>
      <c r="S69" s="395"/>
      <c r="T69" s="314" t="s">
        <v>2147</v>
      </c>
      <c r="U69" s="305" t="s">
        <v>2148</v>
      </c>
      <c r="V69" s="305" t="s">
        <v>2146</v>
      </c>
      <c r="W69" s="308" t="s">
        <v>811</v>
      </c>
      <c r="X69" s="310" t="s">
        <v>2130</v>
      </c>
    </row>
    <row r="70" spans="6:24" ht="13.7" thickBot="1">
      <c r="F70" t="s">
        <v>837</v>
      </c>
      <c r="G70">
        <v>5015</v>
      </c>
      <c r="H70" s="225" t="s">
        <v>838</v>
      </c>
      <c r="J70" s="230" t="s">
        <v>1011</v>
      </c>
      <c r="L70" s="158" t="s">
        <v>550</v>
      </c>
      <c r="M70" t="s">
        <v>1933</v>
      </c>
      <c r="N70" t="s">
        <v>512</v>
      </c>
      <c r="P70" t="s">
        <v>1758</v>
      </c>
      <c r="Q70" s="225" t="s">
        <v>738</v>
      </c>
      <c r="S70" s="395"/>
      <c r="T70" s="314" t="s">
        <v>2149</v>
      </c>
      <c r="U70" s="305" t="s">
        <v>2150</v>
      </c>
      <c r="V70" s="305" t="s">
        <v>2146</v>
      </c>
      <c r="W70" s="308" t="s">
        <v>811</v>
      </c>
      <c r="X70" s="310" t="s">
        <v>2130</v>
      </c>
    </row>
    <row r="71" spans="6:24" ht="13.7" customHeight="1" thickTop="1">
      <c r="F71" t="s">
        <v>839</v>
      </c>
      <c r="G71">
        <v>5016</v>
      </c>
      <c r="H71" s="225" t="s">
        <v>840</v>
      </c>
      <c r="J71" s="229" t="s">
        <v>1012</v>
      </c>
      <c r="L71" s="159" t="s">
        <v>551</v>
      </c>
      <c r="M71" t="s">
        <v>1933</v>
      </c>
      <c r="N71" t="s">
        <v>509</v>
      </c>
      <c r="P71" t="s">
        <v>1801</v>
      </c>
      <c r="Q71" s="225" t="s">
        <v>738</v>
      </c>
      <c r="S71" s="395"/>
      <c r="T71" s="314" t="s">
        <v>2151</v>
      </c>
      <c r="U71" s="305" t="s">
        <v>2145</v>
      </c>
      <c r="V71" s="305" t="s">
        <v>2146</v>
      </c>
      <c r="W71" s="308" t="s">
        <v>811</v>
      </c>
      <c r="X71" s="310" t="s">
        <v>2130</v>
      </c>
    </row>
    <row r="72" spans="6:24" ht="13.7" thickBot="1">
      <c r="F72" t="s">
        <v>841</v>
      </c>
      <c r="G72">
        <v>5017</v>
      </c>
      <c r="H72" s="225" t="s">
        <v>842</v>
      </c>
      <c r="J72" s="230" t="s">
        <v>1013</v>
      </c>
      <c r="L72" s="161" t="s">
        <v>552</v>
      </c>
      <c r="M72" t="s">
        <v>1933</v>
      </c>
      <c r="N72" t="s">
        <v>514</v>
      </c>
      <c r="P72" t="s">
        <v>204</v>
      </c>
      <c r="Q72" s="225" t="s">
        <v>738</v>
      </c>
      <c r="S72" s="395"/>
      <c r="T72" s="314" t="s">
        <v>2144</v>
      </c>
      <c r="U72" s="305" t="s">
        <v>2145</v>
      </c>
      <c r="V72" s="305" t="s">
        <v>2146</v>
      </c>
      <c r="W72" s="308" t="s">
        <v>811</v>
      </c>
      <c r="X72" s="310" t="s">
        <v>2139</v>
      </c>
    </row>
    <row r="73" spans="6:24" ht="13.7" thickTop="1">
      <c r="F73" t="s">
        <v>843</v>
      </c>
      <c r="G73">
        <v>5018</v>
      </c>
      <c r="H73" s="225" t="s">
        <v>844</v>
      </c>
      <c r="J73" s="229" t="s">
        <v>1014</v>
      </c>
      <c r="L73" s="161" t="s">
        <v>553</v>
      </c>
      <c r="M73" t="s">
        <v>1933</v>
      </c>
      <c r="N73" t="s">
        <v>519</v>
      </c>
      <c r="P73" t="s">
        <v>91</v>
      </c>
      <c r="Q73" s="225" t="s">
        <v>738</v>
      </c>
      <c r="S73" s="395"/>
      <c r="T73" s="311" t="s">
        <v>2152</v>
      </c>
      <c r="U73" s="305" t="s">
        <v>2153</v>
      </c>
      <c r="V73" s="305" t="s">
        <v>2146</v>
      </c>
      <c r="W73" s="308" t="s">
        <v>811</v>
      </c>
      <c r="X73" s="310" t="s">
        <v>2139</v>
      </c>
    </row>
    <row r="74" spans="6:24" ht="13.7" thickBot="1">
      <c r="F74" t="s">
        <v>845</v>
      </c>
      <c r="G74">
        <v>5019</v>
      </c>
      <c r="H74" s="225" t="s">
        <v>846</v>
      </c>
      <c r="J74" s="230" t="s">
        <v>1015</v>
      </c>
      <c r="L74" s="141" t="s">
        <v>554</v>
      </c>
      <c r="M74" t="s">
        <v>1933</v>
      </c>
      <c r="N74" t="s">
        <v>513</v>
      </c>
      <c r="P74" t="s">
        <v>1758</v>
      </c>
      <c r="Q74" s="225" t="s">
        <v>738</v>
      </c>
      <c r="S74" s="395"/>
      <c r="T74" s="311" t="s">
        <v>2151</v>
      </c>
      <c r="U74" s="305" t="s">
        <v>2131</v>
      </c>
      <c r="V74" s="305" t="s">
        <v>2146</v>
      </c>
      <c r="W74" s="308" t="s">
        <v>811</v>
      </c>
      <c r="X74" s="310" t="s">
        <v>2139</v>
      </c>
    </row>
    <row r="75" spans="6:24" ht="13.7" thickTop="1">
      <c r="F75" t="s">
        <v>847</v>
      </c>
      <c r="G75">
        <v>6000</v>
      </c>
      <c r="H75" s="225" t="s">
        <v>102</v>
      </c>
      <c r="J75" s="229" t="s">
        <v>606</v>
      </c>
      <c r="L75" s="141" t="s">
        <v>555</v>
      </c>
      <c r="M75" t="s">
        <v>1933</v>
      </c>
      <c r="N75" t="s">
        <v>550</v>
      </c>
      <c r="P75" t="s">
        <v>1802</v>
      </c>
      <c r="Q75" s="225" t="s">
        <v>738</v>
      </c>
      <c r="S75" s="396"/>
      <c r="T75" s="311" t="s">
        <v>2154</v>
      </c>
      <c r="U75" s="305" t="s">
        <v>2153</v>
      </c>
      <c r="V75" s="305" t="s">
        <v>2146</v>
      </c>
      <c r="W75" s="308" t="s">
        <v>811</v>
      </c>
      <c r="X75" s="310" t="s">
        <v>2139</v>
      </c>
    </row>
    <row r="76" spans="6:24" ht="13.7" thickBot="1">
      <c r="F76" t="s">
        <v>848</v>
      </c>
      <c r="G76">
        <v>6001</v>
      </c>
      <c r="H76" s="225" t="s">
        <v>849</v>
      </c>
      <c r="J76" s="230" t="s">
        <v>1016</v>
      </c>
      <c r="L76" s="164" t="s">
        <v>556</v>
      </c>
      <c r="M76" t="s">
        <v>1933</v>
      </c>
      <c r="N76" t="s">
        <v>1803</v>
      </c>
      <c r="P76" t="s">
        <v>1804</v>
      </c>
      <c r="Q76" s="225" t="s">
        <v>738</v>
      </c>
      <c r="S76" s="394" t="s">
        <v>2156</v>
      </c>
      <c r="T76" s="311" t="s">
        <v>2149</v>
      </c>
      <c r="U76" s="305" t="s">
        <v>2150</v>
      </c>
      <c r="V76" s="305" t="s">
        <v>2146</v>
      </c>
      <c r="W76" s="308" t="s">
        <v>811</v>
      </c>
      <c r="X76" s="310" t="s">
        <v>2139</v>
      </c>
    </row>
    <row r="77" spans="6:24" ht="13.7" thickTop="1">
      <c r="F77" t="s">
        <v>850</v>
      </c>
      <c r="G77">
        <v>6002</v>
      </c>
      <c r="H77" s="225" t="s">
        <v>851</v>
      </c>
      <c r="J77" s="229" t="s">
        <v>2161</v>
      </c>
      <c r="L77" s="164" t="s">
        <v>557</v>
      </c>
      <c r="M77" t="s">
        <v>1933</v>
      </c>
      <c r="N77" t="s">
        <v>625</v>
      </c>
      <c r="P77" t="s">
        <v>1804</v>
      </c>
      <c r="Q77" s="225" t="s">
        <v>738</v>
      </c>
      <c r="S77" s="395"/>
      <c r="T77" s="311" t="s">
        <v>2155</v>
      </c>
      <c r="U77" s="305" t="s">
        <v>2153</v>
      </c>
      <c r="V77" s="305" t="s">
        <v>2146</v>
      </c>
      <c r="W77" s="308" t="s">
        <v>811</v>
      </c>
      <c r="X77" s="310" t="s">
        <v>2139</v>
      </c>
    </row>
    <row r="78" spans="6:24" ht="13.7" thickBot="1">
      <c r="F78" t="s">
        <v>852</v>
      </c>
      <c r="G78">
        <v>6003</v>
      </c>
      <c r="H78" s="225" t="s">
        <v>853</v>
      </c>
      <c r="J78" s="230" t="s">
        <v>2164</v>
      </c>
      <c r="L78" s="164" t="s">
        <v>558</v>
      </c>
      <c r="M78" t="s">
        <v>1933</v>
      </c>
      <c r="N78" t="s">
        <v>257</v>
      </c>
      <c r="P78" t="s">
        <v>1758</v>
      </c>
      <c r="Q78" s="225" t="s">
        <v>738</v>
      </c>
      <c r="S78" s="395"/>
      <c r="T78" s="311" t="s">
        <v>2157</v>
      </c>
      <c r="U78" s="305" t="s">
        <v>2158</v>
      </c>
      <c r="V78" s="305" t="s">
        <v>2159</v>
      </c>
      <c r="W78" s="308" t="s">
        <v>847</v>
      </c>
      <c r="X78" s="310" t="s">
        <v>2160</v>
      </c>
    </row>
    <row r="79" spans="6:24" ht="25.2" customHeight="1" thickTop="1">
      <c r="F79" t="s">
        <v>854</v>
      </c>
      <c r="G79">
        <v>6004</v>
      </c>
      <c r="H79" s="225" t="s">
        <v>855</v>
      </c>
      <c r="J79" s="229" t="s">
        <v>1017</v>
      </c>
      <c r="L79" s="164" t="s">
        <v>559</v>
      </c>
      <c r="M79" t="s">
        <v>1933</v>
      </c>
      <c r="N79" t="s">
        <v>550</v>
      </c>
      <c r="P79" t="s">
        <v>1802</v>
      </c>
      <c r="Q79" s="225" t="s">
        <v>738</v>
      </c>
      <c r="S79" s="395"/>
      <c r="T79" s="311" t="s">
        <v>2162</v>
      </c>
      <c r="U79" s="305" t="s">
        <v>2163</v>
      </c>
      <c r="V79" s="305" t="s">
        <v>2159</v>
      </c>
      <c r="W79" s="308" t="s">
        <v>847</v>
      </c>
      <c r="X79" s="310"/>
    </row>
    <row r="80" spans="6:24" ht="13.7" thickBot="1">
      <c r="F80" t="s">
        <v>856</v>
      </c>
      <c r="G80">
        <v>6005</v>
      </c>
      <c r="H80" s="225" t="s">
        <v>857</v>
      </c>
      <c r="J80" s="230" t="s">
        <v>1018</v>
      </c>
      <c r="L80" s="164" t="s">
        <v>560</v>
      </c>
      <c r="M80" t="s">
        <v>1933</v>
      </c>
      <c r="N80" t="s">
        <v>1805</v>
      </c>
      <c r="P80" t="s">
        <v>1758</v>
      </c>
      <c r="Q80" s="225" t="s">
        <v>738</v>
      </c>
      <c r="S80" s="395"/>
      <c r="T80" s="311" t="s">
        <v>2165</v>
      </c>
      <c r="U80" s="305" t="s">
        <v>2166</v>
      </c>
      <c r="V80" s="305" t="s">
        <v>2159</v>
      </c>
      <c r="W80" s="308" t="s">
        <v>847</v>
      </c>
      <c r="X80" s="310"/>
    </row>
    <row r="81" spans="6:24" ht="13.7" thickTop="1">
      <c r="F81" t="s">
        <v>858</v>
      </c>
      <c r="G81">
        <v>6006</v>
      </c>
      <c r="H81" s="225" t="s">
        <v>859</v>
      </c>
      <c r="J81" s="229" t="s">
        <v>1019</v>
      </c>
      <c r="L81" s="141" t="s">
        <v>561</v>
      </c>
      <c r="M81" t="s">
        <v>1933</v>
      </c>
      <c r="N81" t="s">
        <v>255</v>
      </c>
      <c r="P81" t="s">
        <v>1758</v>
      </c>
      <c r="Q81" s="225" t="s">
        <v>738</v>
      </c>
      <c r="S81" s="395"/>
      <c r="T81" s="314" t="s">
        <v>2167</v>
      </c>
      <c r="U81" s="305" t="s">
        <v>2163</v>
      </c>
      <c r="V81" s="305" t="s">
        <v>2159</v>
      </c>
      <c r="W81" s="308" t="s">
        <v>847</v>
      </c>
      <c r="X81" s="310"/>
    </row>
    <row r="82" spans="6:24" ht="25.2" customHeight="1" thickBot="1">
      <c r="F82" t="s">
        <v>860</v>
      </c>
      <c r="G82">
        <v>6007</v>
      </c>
      <c r="H82" s="225" t="s">
        <v>861</v>
      </c>
      <c r="J82" s="230" t="s">
        <v>1020</v>
      </c>
      <c r="L82" s="157" t="s">
        <v>562</v>
      </c>
      <c r="M82" t="s">
        <v>1933</v>
      </c>
      <c r="N82" t="s">
        <v>527</v>
      </c>
      <c r="P82" t="s">
        <v>1758</v>
      </c>
      <c r="Q82" s="225" t="s">
        <v>738</v>
      </c>
      <c r="S82" s="395"/>
      <c r="T82" s="311" t="s">
        <v>2168</v>
      </c>
      <c r="U82" s="305" t="s">
        <v>2163</v>
      </c>
      <c r="V82" s="305" t="s">
        <v>2159</v>
      </c>
      <c r="W82" s="308" t="s">
        <v>847</v>
      </c>
      <c r="X82" s="310"/>
    </row>
    <row r="83" spans="6:24" ht="13.7" thickTop="1">
      <c r="F83" t="s">
        <v>862</v>
      </c>
      <c r="G83">
        <v>6008</v>
      </c>
      <c r="H83" s="225" t="s">
        <v>863</v>
      </c>
      <c r="J83" s="229" t="s">
        <v>1021</v>
      </c>
      <c r="L83" s="141" t="s">
        <v>563</v>
      </c>
      <c r="M83" t="s">
        <v>1933</v>
      </c>
      <c r="N83" t="s">
        <v>628</v>
      </c>
      <c r="P83" t="s">
        <v>1800</v>
      </c>
      <c r="Q83" s="225" t="s">
        <v>738</v>
      </c>
      <c r="S83" s="394" t="s">
        <v>2156</v>
      </c>
      <c r="T83" s="311" t="s">
        <v>2169</v>
      </c>
      <c r="U83" s="305" t="s">
        <v>2163</v>
      </c>
      <c r="V83" s="305" t="s">
        <v>2159</v>
      </c>
      <c r="W83" s="308" t="s">
        <v>847</v>
      </c>
      <c r="X83" s="310"/>
    </row>
    <row r="84" spans="6:24" ht="13.7" thickBot="1">
      <c r="F84" t="s">
        <v>864</v>
      </c>
      <c r="G84">
        <v>6009</v>
      </c>
      <c r="H84" s="225" t="s">
        <v>865</v>
      </c>
      <c r="J84" s="230" t="s">
        <v>2173</v>
      </c>
      <c r="L84" s="141" t="s">
        <v>564</v>
      </c>
      <c r="M84" t="s">
        <v>1933</v>
      </c>
      <c r="N84" t="s">
        <v>630</v>
      </c>
      <c r="P84" t="s">
        <v>1804</v>
      </c>
      <c r="Q84" s="225" t="s">
        <v>738</v>
      </c>
      <c r="S84" s="396"/>
      <c r="T84" s="311" t="s">
        <v>2170</v>
      </c>
      <c r="U84" s="305" t="s">
        <v>2166</v>
      </c>
      <c r="V84" s="305" t="s">
        <v>2159</v>
      </c>
      <c r="W84" s="308" t="s">
        <v>847</v>
      </c>
      <c r="X84" s="310"/>
    </row>
    <row r="85" spans="6:24" ht="13.7" thickTop="1">
      <c r="F85" t="s">
        <v>866</v>
      </c>
      <c r="G85">
        <v>6010</v>
      </c>
      <c r="H85" s="225" t="s">
        <v>867</v>
      </c>
      <c r="J85" s="229" t="s">
        <v>615</v>
      </c>
      <c r="L85" s="165" t="s">
        <v>565</v>
      </c>
      <c r="M85" t="s">
        <v>1933</v>
      </c>
      <c r="N85" t="s">
        <v>629</v>
      </c>
      <c r="P85" t="s">
        <v>1804</v>
      </c>
      <c r="Q85" s="225" t="s">
        <v>738</v>
      </c>
      <c r="S85" s="394" t="s">
        <v>2176</v>
      </c>
      <c r="T85" s="311" t="s">
        <v>2171</v>
      </c>
      <c r="U85" s="305" t="s">
        <v>2158</v>
      </c>
      <c r="V85" s="305" t="s">
        <v>2159</v>
      </c>
      <c r="W85" s="308" t="s">
        <v>2172</v>
      </c>
      <c r="X85" s="310" t="s">
        <v>2160</v>
      </c>
    </row>
    <row r="86" spans="6:24" ht="13.7" thickBot="1">
      <c r="F86" t="s">
        <v>186</v>
      </c>
      <c r="G86">
        <v>7000</v>
      </c>
      <c r="H86" s="225" t="s">
        <v>103</v>
      </c>
      <c r="J86" s="230" t="s">
        <v>1022</v>
      </c>
      <c r="L86" s="165" t="s">
        <v>566</v>
      </c>
      <c r="M86" t="s">
        <v>1933</v>
      </c>
      <c r="N86" t="s">
        <v>633</v>
      </c>
      <c r="P86" t="s">
        <v>1804</v>
      </c>
      <c r="Q86" s="225" t="s">
        <v>738</v>
      </c>
      <c r="S86" s="396"/>
      <c r="T86" s="311" t="s">
        <v>2174</v>
      </c>
      <c r="U86" s="305" t="s">
        <v>2175</v>
      </c>
      <c r="V86" s="305" t="s">
        <v>2159</v>
      </c>
      <c r="W86" s="308" t="s">
        <v>2172</v>
      </c>
      <c r="X86" s="310" t="s">
        <v>2160</v>
      </c>
    </row>
    <row r="87" spans="6:24" ht="13.7" thickTop="1">
      <c r="F87" t="s">
        <v>417</v>
      </c>
      <c r="G87">
        <v>8001</v>
      </c>
      <c r="H87" s="225" t="s">
        <v>868</v>
      </c>
      <c r="J87" s="229" t="s">
        <v>1023</v>
      </c>
      <c r="L87" s="165" t="s">
        <v>567</v>
      </c>
      <c r="M87" t="s">
        <v>1933</v>
      </c>
      <c r="N87" t="s">
        <v>1806</v>
      </c>
      <c r="P87" t="s">
        <v>1804</v>
      </c>
      <c r="Q87" s="225" t="s">
        <v>738</v>
      </c>
      <c r="S87" s="394" t="s">
        <v>2181</v>
      </c>
      <c r="T87" s="311" t="s">
        <v>2177</v>
      </c>
      <c r="U87" s="305" t="s">
        <v>2178</v>
      </c>
      <c r="V87" s="305" t="s">
        <v>2179</v>
      </c>
      <c r="W87" s="308" t="s">
        <v>186</v>
      </c>
      <c r="X87" s="310"/>
    </row>
    <row r="88" spans="6:24" ht="13.7" thickBot="1">
      <c r="F88" t="s">
        <v>177</v>
      </c>
      <c r="G88">
        <v>8002</v>
      </c>
      <c r="H88" s="225" t="s">
        <v>869</v>
      </c>
      <c r="J88" s="230" t="s">
        <v>2186</v>
      </c>
      <c r="L88" s="166" t="s">
        <v>568</v>
      </c>
      <c r="M88" t="s">
        <v>1933</v>
      </c>
      <c r="N88" t="s">
        <v>1807</v>
      </c>
      <c r="P88" t="s">
        <v>92</v>
      </c>
      <c r="Q88" s="225" t="s">
        <v>769</v>
      </c>
      <c r="S88" s="395"/>
      <c r="T88" s="311" t="s">
        <v>2180</v>
      </c>
      <c r="U88" s="305" t="s">
        <v>2178</v>
      </c>
      <c r="V88" s="305" t="s">
        <v>2179</v>
      </c>
      <c r="W88" s="308" t="s">
        <v>186</v>
      </c>
      <c r="X88" s="310"/>
    </row>
    <row r="89" spans="6:24" ht="13.7" thickTop="1">
      <c r="F89" t="s">
        <v>870</v>
      </c>
      <c r="G89">
        <v>8003</v>
      </c>
      <c r="H89" s="225" t="s">
        <v>871</v>
      </c>
      <c r="J89" s="229" t="s">
        <v>1024</v>
      </c>
      <c r="L89" s="167" t="s">
        <v>569</v>
      </c>
      <c r="M89" t="s">
        <v>1933</v>
      </c>
      <c r="N89" t="s">
        <v>1808</v>
      </c>
      <c r="P89" t="s">
        <v>1809</v>
      </c>
      <c r="Q89" s="225" t="s">
        <v>769</v>
      </c>
      <c r="S89" s="395"/>
      <c r="T89" s="311" t="s">
        <v>2182</v>
      </c>
      <c r="U89" s="305" t="s">
        <v>2183</v>
      </c>
      <c r="V89" s="305" t="s">
        <v>2184</v>
      </c>
      <c r="W89" s="308" t="s">
        <v>417</v>
      </c>
      <c r="X89" s="310" t="s">
        <v>2185</v>
      </c>
    </row>
    <row r="90" spans="6:24" ht="13.7" thickBot="1">
      <c r="F90" t="s">
        <v>872</v>
      </c>
      <c r="G90">
        <v>8004</v>
      </c>
      <c r="H90" s="225" t="s">
        <v>873</v>
      </c>
      <c r="J90" s="230" t="s">
        <v>593</v>
      </c>
      <c r="L90" s="169" t="s">
        <v>570</v>
      </c>
      <c r="M90" t="s">
        <v>1933</v>
      </c>
      <c r="N90" t="s">
        <v>1810</v>
      </c>
      <c r="P90" t="s">
        <v>92</v>
      </c>
      <c r="Q90" s="225" t="s">
        <v>769</v>
      </c>
      <c r="S90" s="395"/>
      <c r="T90" s="311" t="s">
        <v>2187</v>
      </c>
      <c r="U90" s="305" t="s">
        <v>2183</v>
      </c>
      <c r="V90" s="305" t="s">
        <v>2184</v>
      </c>
      <c r="W90" s="308" t="s">
        <v>417</v>
      </c>
      <c r="X90" s="310"/>
    </row>
    <row r="91" spans="6:24" ht="13.7" thickTop="1">
      <c r="F91" t="s">
        <v>874</v>
      </c>
      <c r="G91">
        <v>8005</v>
      </c>
      <c r="H91" s="225" t="s">
        <v>875</v>
      </c>
      <c r="J91" s="229" t="s">
        <v>1025</v>
      </c>
      <c r="L91" s="135" t="s">
        <v>571</v>
      </c>
      <c r="M91" t="s">
        <v>1921</v>
      </c>
      <c r="N91" t="s">
        <v>1811</v>
      </c>
      <c r="P91" t="s">
        <v>1809</v>
      </c>
      <c r="Q91" s="225" t="s">
        <v>769</v>
      </c>
      <c r="S91" s="395"/>
      <c r="T91" s="311" t="s">
        <v>2188</v>
      </c>
      <c r="U91" s="305" t="s">
        <v>2183</v>
      </c>
      <c r="V91" s="305" t="s">
        <v>2184</v>
      </c>
      <c r="W91" s="308" t="s">
        <v>417</v>
      </c>
      <c r="X91" s="310"/>
    </row>
    <row r="92" spans="6:24" ht="13.7" thickBot="1">
      <c r="F92" t="s">
        <v>876</v>
      </c>
      <c r="G92">
        <v>8006</v>
      </c>
      <c r="H92" s="225" t="s">
        <v>877</v>
      </c>
      <c r="J92" s="230" t="s">
        <v>607</v>
      </c>
      <c r="L92" s="141" t="s">
        <v>572</v>
      </c>
      <c r="M92" t="s">
        <v>1921</v>
      </c>
      <c r="N92" t="s">
        <v>1812</v>
      </c>
      <c r="P92" t="s">
        <v>92</v>
      </c>
      <c r="Q92" s="225" t="s">
        <v>771</v>
      </c>
      <c r="S92" s="395"/>
      <c r="T92" s="311" t="s">
        <v>2189</v>
      </c>
      <c r="U92" s="305" t="s">
        <v>2190</v>
      </c>
      <c r="V92" s="305" t="s">
        <v>2191</v>
      </c>
      <c r="W92" s="308" t="s">
        <v>417</v>
      </c>
      <c r="X92" s="310"/>
    </row>
    <row r="93" spans="6:24" ht="13.7" thickTop="1">
      <c r="F93" t="s">
        <v>878</v>
      </c>
      <c r="G93">
        <v>8007</v>
      </c>
      <c r="H93" s="225" t="s">
        <v>879</v>
      </c>
      <c r="J93" s="229" t="s">
        <v>2196</v>
      </c>
      <c r="L93" s="148" t="s">
        <v>573</v>
      </c>
      <c r="M93" t="s">
        <v>1921</v>
      </c>
      <c r="N93" t="s">
        <v>1813</v>
      </c>
      <c r="P93" t="s">
        <v>1809</v>
      </c>
      <c r="Q93" s="225" t="s">
        <v>771</v>
      </c>
      <c r="S93" s="396"/>
      <c r="T93" s="311" t="s">
        <v>2192</v>
      </c>
      <c r="U93" s="305" t="s">
        <v>2190</v>
      </c>
      <c r="V93" s="305" t="s">
        <v>2191</v>
      </c>
      <c r="W93" s="308" t="s">
        <v>417</v>
      </c>
      <c r="X93" s="310"/>
    </row>
    <row r="94" spans="6:24" ht="13.7" thickBot="1">
      <c r="F94" t="s">
        <v>880</v>
      </c>
      <c r="G94">
        <v>8008</v>
      </c>
      <c r="H94" s="225" t="s">
        <v>881</v>
      </c>
      <c r="J94" s="230" t="s">
        <v>592</v>
      </c>
      <c r="L94" s="148" t="s">
        <v>574</v>
      </c>
      <c r="M94" t="s">
        <v>1921</v>
      </c>
      <c r="N94" t="s">
        <v>1003</v>
      </c>
      <c r="P94" t="s">
        <v>1814</v>
      </c>
      <c r="Q94" s="225" t="s">
        <v>810</v>
      </c>
      <c r="S94" s="394" t="s">
        <v>2199</v>
      </c>
      <c r="T94" s="311" t="s">
        <v>2193</v>
      </c>
      <c r="U94" s="305" t="s">
        <v>2194</v>
      </c>
      <c r="V94" s="305" t="s">
        <v>2191</v>
      </c>
      <c r="W94" s="308" t="s">
        <v>2195</v>
      </c>
      <c r="X94" s="310"/>
    </row>
    <row r="95" spans="6:24" ht="13.7" thickTop="1">
      <c r="F95" t="s">
        <v>882</v>
      </c>
      <c r="G95">
        <v>8009</v>
      </c>
      <c r="H95" s="225" t="s">
        <v>883</v>
      </c>
      <c r="J95" s="229" t="s">
        <v>1026</v>
      </c>
      <c r="L95" s="148" t="s">
        <v>575</v>
      </c>
      <c r="M95" t="s">
        <v>1933</v>
      </c>
      <c r="N95" t="s">
        <v>586</v>
      </c>
      <c r="P95" t="s">
        <v>1814</v>
      </c>
      <c r="Q95" s="225" t="s">
        <v>810</v>
      </c>
      <c r="S95" s="395"/>
      <c r="T95" s="311" t="s">
        <v>2197</v>
      </c>
      <c r="U95" s="305" t="s">
        <v>2190</v>
      </c>
      <c r="V95" s="305" t="s">
        <v>2191</v>
      </c>
      <c r="W95" s="308" t="s">
        <v>2195</v>
      </c>
      <c r="X95" s="310" t="s">
        <v>2198</v>
      </c>
    </row>
    <row r="96" spans="6:24" ht="13">
      <c r="F96" t="s">
        <v>884</v>
      </c>
      <c r="G96">
        <v>8010</v>
      </c>
      <c r="H96" s="225" t="s">
        <v>885</v>
      </c>
      <c r="J96" s="232" t="s">
        <v>1027</v>
      </c>
      <c r="L96" s="141" t="s">
        <v>576</v>
      </c>
      <c r="M96" t="s">
        <v>1933</v>
      </c>
      <c r="N96" t="s">
        <v>1395</v>
      </c>
      <c r="P96" t="s">
        <v>1814</v>
      </c>
      <c r="Q96" s="225" t="s">
        <v>810</v>
      </c>
      <c r="S96" s="395"/>
      <c r="T96" s="311" t="s">
        <v>2200</v>
      </c>
      <c r="U96" s="305" t="s">
        <v>2201</v>
      </c>
      <c r="V96" s="305" t="s">
        <v>2202</v>
      </c>
      <c r="W96" s="308" t="s">
        <v>2203</v>
      </c>
      <c r="X96" s="310"/>
    </row>
    <row r="97" spans="6:24" ht="13.7" thickBot="1">
      <c r="F97" t="s">
        <v>886</v>
      </c>
      <c r="G97">
        <v>9001</v>
      </c>
      <c r="H97" s="225" t="s">
        <v>104</v>
      </c>
      <c r="J97" s="231" t="s">
        <v>1028</v>
      </c>
      <c r="L97" s="141" t="s">
        <v>555</v>
      </c>
      <c r="M97" t="s">
        <v>1933</v>
      </c>
      <c r="N97" t="s">
        <v>1396</v>
      </c>
      <c r="P97" t="s">
        <v>1814</v>
      </c>
      <c r="Q97" s="225" t="s">
        <v>810</v>
      </c>
      <c r="S97" s="395"/>
      <c r="T97" s="314" t="s">
        <v>2204</v>
      </c>
      <c r="U97" s="305" t="s">
        <v>2201</v>
      </c>
      <c r="V97" s="305" t="s">
        <v>2202</v>
      </c>
      <c r="W97" s="308" t="s">
        <v>2203</v>
      </c>
      <c r="X97" s="310"/>
    </row>
    <row r="98" spans="6:24" ht="14.4" thickTop="1" thickBot="1">
      <c r="F98" t="s">
        <v>305</v>
      </c>
      <c r="G98">
        <v>9002</v>
      </c>
      <c r="H98" s="225" t="s">
        <v>887</v>
      </c>
      <c r="J98" s="229" t="s">
        <v>1029</v>
      </c>
      <c r="L98" s="169" t="s">
        <v>87</v>
      </c>
      <c r="M98" t="s">
        <v>1933</v>
      </c>
      <c r="N98" t="s">
        <v>993</v>
      </c>
      <c r="P98" t="s">
        <v>1815</v>
      </c>
      <c r="Q98" s="225" t="s">
        <v>810</v>
      </c>
      <c r="S98" s="394" t="s">
        <v>2181</v>
      </c>
      <c r="T98" s="314" t="s">
        <v>2186</v>
      </c>
      <c r="U98" s="305" t="s">
        <v>2201</v>
      </c>
      <c r="V98" s="305" t="s">
        <v>2202</v>
      </c>
      <c r="W98" s="308" t="s">
        <v>2203</v>
      </c>
      <c r="X98" s="310"/>
    </row>
    <row r="99" spans="6:24" ht="13.7" thickBot="1">
      <c r="F99" t="s">
        <v>888</v>
      </c>
      <c r="G99">
        <v>9003</v>
      </c>
      <c r="H99" s="225" t="s">
        <v>889</v>
      </c>
      <c r="J99" s="230" t="s">
        <v>1030</v>
      </c>
      <c r="L99" s="171" t="s">
        <v>577</v>
      </c>
      <c r="M99" t="s">
        <v>1933</v>
      </c>
      <c r="N99" t="s">
        <v>1198</v>
      </c>
      <c r="P99" t="s">
        <v>1815</v>
      </c>
      <c r="Q99" s="225" t="s">
        <v>810</v>
      </c>
      <c r="S99" s="395"/>
      <c r="T99" s="311" t="s">
        <v>2205</v>
      </c>
      <c r="U99" s="305" t="s">
        <v>2201</v>
      </c>
      <c r="V99" s="305" t="s">
        <v>2202</v>
      </c>
      <c r="W99" s="308" t="s">
        <v>2203</v>
      </c>
      <c r="X99" s="310"/>
    </row>
    <row r="100" spans="6:24" ht="13.7" thickTop="1">
      <c r="F100" t="s">
        <v>890</v>
      </c>
      <c r="G100">
        <v>9004</v>
      </c>
      <c r="H100" s="225" t="s">
        <v>891</v>
      </c>
      <c r="J100" s="229" t="s">
        <v>1031</v>
      </c>
      <c r="L100" s="173" t="s">
        <v>578</v>
      </c>
      <c r="M100" t="s">
        <v>1933</v>
      </c>
      <c r="N100" t="s">
        <v>1199</v>
      </c>
      <c r="P100" t="s">
        <v>1815</v>
      </c>
      <c r="Q100" s="225" t="s">
        <v>810</v>
      </c>
      <c r="S100" s="395"/>
      <c r="T100" s="311" t="s">
        <v>2206</v>
      </c>
      <c r="U100" s="305" t="s">
        <v>2183</v>
      </c>
      <c r="V100" s="305" t="s">
        <v>2207</v>
      </c>
      <c r="W100" s="308" t="s">
        <v>2208</v>
      </c>
      <c r="X100" s="310"/>
    </row>
    <row r="101" spans="6:24" ht="13.7" thickBot="1">
      <c r="F101" t="s">
        <v>892</v>
      </c>
      <c r="G101">
        <v>9005</v>
      </c>
      <c r="H101" s="225" t="s">
        <v>893</v>
      </c>
      <c r="J101" s="230" t="s">
        <v>1032</v>
      </c>
      <c r="L101" s="130" t="s">
        <v>579</v>
      </c>
      <c r="M101" t="s">
        <v>1933</v>
      </c>
      <c r="N101" t="s">
        <v>1816</v>
      </c>
      <c r="P101" t="s">
        <v>1814</v>
      </c>
      <c r="Q101" s="225" t="s">
        <v>810</v>
      </c>
      <c r="S101" s="395"/>
      <c r="T101" s="311" t="s">
        <v>1714</v>
      </c>
      <c r="U101" s="305" t="s">
        <v>2209</v>
      </c>
      <c r="V101" s="305" t="s">
        <v>2207</v>
      </c>
      <c r="W101" s="308" t="s">
        <v>2208</v>
      </c>
      <c r="X101" s="310"/>
    </row>
    <row r="102" spans="6:24" ht="13.7" thickTop="1">
      <c r="F102" t="s">
        <v>298</v>
      </c>
      <c r="G102">
        <v>10000</v>
      </c>
      <c r="H102" s="225" t="s">
        <v>894</v>
      </c>
      <c r="J102" s="229" t="s">
        <v>1033</v>
      </c>
      <c r="L102" s="130" t="s">
        <v>580</v>
      </c>
      <c r="M102" t="s">
        <v>1933</v>
      </c>
      <c r="N102" t="s">
        <v>1817</v>
      </c>
      <c r="P102" t="s">
        <v>1814</v>
      </c>
      <c r="Q102" s="225" t="s">
        <v>810</v>
      </c>
      <c r="S102" s="395"/>
      <c r="T102" s="311" t="s">
        <v>2210</v>
      </c>
      <c r="U102" s="305" t="s">
        <v>2211</v>
      </c>
      <c r="V102" s="305" t="s">
        <v>2207</v>
      </c>
      <c r="W102" s="308" t="s">
        <v>2208</v>
      </c>
      <c r="X102" s="310"/>
    </row>
    <row r="103" spans="6:24" ht="13.7" thickBot="1">
      <c r="F103" t="s">
        <v>895</v>
      </c>
      <c r="G103">
        <v>10001</v>
      </c>
      <c r="H103" s="225" t="s">
        <v>896</v>
      </c>
      <c r="J103" s="230" t="s">
        <v>1034</v>
      </c>
      <c r="L103" s="141" t="s">
        <v>581</v>
      </c>
      <c r="M103" t="s">
        <v>1933</v>
      </c>
      <c r="N103" t="s">
        <v>1396</v>
      </c>
      <c r="P103" t="s">
        <v>1814</v>
      </c>
      <c r="Q103" s="225" t="s">
        <v>810</v>
      </c>
      <c r="S103" s="395"/>
      <c r="T103" s="311" t="s">
        <v>2212</v>
      </c>
      <c r="U103" s="305" t="s">
        <v>2211</v>
      </c>
      <c r="V103" s="305" t="s">
        <v>2207</v>
      </c>
      <c r="W103" s="308" t="s">
        <v>2208</v>
      </c>
      <c r="X103" s="310"/>
    </row>
    <row r="104" spans="6:24" ht="13.7" thickTop="1">
      <c r="F104" t="s">
        <v>897</v>
      </c>
      <c r="G104">
        <v>10002</v>
      </c>
      <c r="H104" s="225" t="s">
        <v>898</v>
      </c>
      <c r="J104" s="229" t="s">
        <v>1035</v>
      </c>
      <c r="L104" s="141" t="s">
        <v>582</v>
      </c>
      <c r="M104" t="s">
        <v>1933</v>
      </c>
      <c r="N104" t="s">
        <v>1395</v>
      </c>
      <c r="P104" t="s">
        <v>1814</v>
      </c>
      <c r="Q104" s="225" t="s">
        <v>810</v>
      </c>
      <c r="S104" s="395"/>
      <c r="T104" s="311" t="s">
        <v>1715</v>
      </c>
      <c r="U104" s="305" t="s">
        <v>2211</v>
      </c>
      <c r="V104" s="305" t="s">
        <v>2207</v>
      </c>
      <c r="W104" s="308" t="s">
        <v>2208</v>
      </c>
      <c r="X104" s="310"/>
    </row>
    <row r="105" spans="6:24" ht="13.7" thickBot="1">
      <c r="F105" t="s">
        <v>899</v>
      </c>
      <c r="G105">
        <v>10003</v>
      </c>
      <c r="H105" s="225" t="s">
        <v>900</v>
      </c>
      <c r="J105" s="230" t="s">
        <v>1036</v>
      </c>
      <c r="L105" s="141" t="s">
        <v>578</v>
      </c>
      <c r="M105" t="s">
        <v>1933</v>
      </c>
      <c r="N105" t="s">
        <v>1818</v>
      </c>
      <c r="P105" t="s">
        <v>1815</v>
      </c>
      <c r="Q105" s="225" t="s">
        <v>810</v>
      </c>
      <c r="S105" s="395"/>
      <c r="T105" s="311" t="s">
        <v>1716</v>
      </c>
      <c r="U105" s="305" t="s">
        <v>2211</v>
      </c>
      <c r="V105" s="305" t="s">
        <v>2207</v>
      </c>
      <c r="W105" s="308" t="s">
        <v>2208</v>
      </c>
      <c r="X105" s="310"/>
    </row>
    <row r="106" spans="6:24" ht="13.7" thickTop="1">
      <c r="F106" t="s">
        <v>279</v>
      </c>
      <c r="G106">
        <v>11000</v>
      </c>
      <c r="H106" s="225" t="s">
        <v>901</v>
      </c>
      <c r="J106" s="229" t="s">
        <v>2214</v>
      </c>
      <c r="L106" s="177" t="s">
        <v>583</v>
      </c>
      <c r="M106" t="s">
        <v>1933</v>
      </c>
      <c r="N106" t="s">
        <v>1819</v>
      </c>
      <c r="P106" t="s">
        <v>1815</v>
      </c>
      <c r="Q106" s="225" t="s">
        <v>810</v>
      </c>
      <c r="S106" s="395"/>
      <c r="T106" s="311" t="s">
        <v>2213</v>
      </c>
      <c r="U106" s="305" t="s">
        <v>2211</v>
      </c>
      <c r="V106" s="305" t="s">
        <v>2207</v>
      </c>
      <c r="W106" s="308" t="s">
        <v>2208</v>
      </c>
      <c r="X106" s="310"/>
    </row>
    <row r="107" spans="6:24" ht="13.7" thickBot="1">
      <c r="F107" t="s">
        <v>320</v>
      </c>
      <c r="G107">
        <v>11001</v>
      </c>
      <c r="H107" s="225" t="s">
        <v>902</v>
      </c>
      <c r="J107" s="230" t="s">
        <v>1037</v>
      </c>
      <c r="L107" s="179" t="s">
        <v>584</v>
      </c>
      <c r="M107" t="s">
        <v>1933</v>
      </c>
      <c r="N107" t="s">
        <v>587</v>
      </c>
      <c r="P107" t="s">
        <v>93</v>
      </c>
      <c r="Q107" s="225" t="s">
        <v>812</v>
      </c>
      <c r="S107" s="395"/>
      <c r="T107" s="311" t="s">
        <v>1717</v>
      </c>
      <c r="U107" s="305" t="s">
        <v>2211</v>
      </c>
      <c r="V107" s="305" t="s">
        <v>2207</v>
      </c>
      <c r="W107" s="308" t="s">
        <v>2208</v>
      </c>
      <c r="X107" s="310"/>
    </row>
    <row r="108" spans="6:24" ht="13.7" thickTop="1">
      <c r="F108" t="s">
        <v>903</v>
      </c>
      <c r="G108">
        <v>11002</v>
      </c>
      <c r="H108" s="225" t="s">
        <v>904</v>
      </c>
      <c r="J108" s="229" t="s">
        <v>1038</v>
      </c>
      <c r="L108" s="135" t="s">
        <v>585</v>
      </c>
      <c r="M108" t="s">
        <v>1933</v>
      </c>
      <c r="N108" t="s">
        <v>588</v>
      </c>
      <c r="P108" t="s">
        <v>1820</v>
      </c>
      <c r="Q108" s="225" t="s">
        <v>812</v>
      </c>
      <c r="S108" s="395"/>
      <c r="T108" s="311" t="s">
        <v>1718</v>
      </c>
      <c r="U108" s="305" t="s">
        <v>2211</v>
      </c>
      <c r="V108" s="305" t="s">
        <v>2207</v>
      </c>
      <c r="W108" s="308" t="s">
        <v>2208</v>
      </c>
      <c r="X108" s="310"/>
    </row>
    <row r="109" spans="6:24" ht="13.7" thickBot="1">
      <c r="F109" t="s">
        <v>905</v>
      </c>
      <c r="G109">
        <v>11003</v>
      </c>
      <c r="H109" s="225" t="s">
        <v>906</v>
      </c>
      <c r="J109" s="230" t="s">
        <v>1039</v>
      </c>
      <c r="L109" s="141" t="s">
        <v>586</v>
      </c>
      <c r="M109" t="s">
        <v>1933</v>
      </c>
      <c r="N109" t="s">
        <v>589</v>
      </c>
      <c r="P109" t="s">
        <v>1822</v>
      </c>
      <c r="Q109" s="225" t="s">
        <v>812</v>
      </c>
      <c r="S109" s="395"/>
      <c r="T109" s="311" t="s">
        <v>1719</v>
      </c>
      <c r="U109" s="305" t="s">
        <v>2211</v>
      </c>
      <c r="V109" s="305" t="s">
        <v>2207</v>
      </c>
      <c r="W109" s="308" t="s">
        <v>2208</v>
      </c>
      <c r="X109" s="310"/>
    </row>
    <row r="110" spans="6:24" ht="13.7" customHeight="1" thickTop="1">
      <c r="F110" t="s">
        <v>907</v>
      </c>
      <c r="G110">
        <v>11004</v>
      </c>
      <c r="H110" s="225" t="s">
        <v>908</v>
      </c>
      <c r="J110" s="229" t="s">
        <v>691</v>
      </c>
      <c r="L110" s="141" t="s">
        <v>587</v>
      </c>
      <c r="M110" t="s">
        <v>1933</v>
      </c>
      <c r="N110" t="s">
        <v>590</v>
      </c>
      <c r="P110" t="s">
        <v>93</v>
      </c>
      <c r="Q110" s="225" t="s">
        <v>812</v>
      </c>
      <c r="S110" s="395"/>
      <c r="T110" s="311" t="s">
        <v>1720</v>
      </c>
      <c r="U110" s="305" t="s">
        <v>1821</v>
      </c>
      <c r="V110" s="305" t="s">
        <v>2207</v>
      </c>
      <c r="W110" s="308" t="s">
        <v>2208</v>
      </c>
      <c r="X110" s="310"/>
    </row>
    <row r="111" spans="6:24" ht="13.7" thickBot="1">
      <c r="F111" t="s">
        <v>909</v>
      </c>
      <c r="G111">
        <v>11005</v>
      </c>
      <c r="H111" s="225" t="s">
        <v>910</v>
      </c>
      <c r="J111" s="230" t="s">
        <v>1040</v>
      </c>
      <c r="L111" s="141" t="s">
        <v>580</v>
      </c>
      <c r="M111" t="s">
        <v>1933</v>
      </c>
      <c r="N111" t="s">
        <v>587</v>
      </c>
      <c r="P111" t="s">
        <v>93</v>
      </c>
      <c r="Q111" s="225" t="s">
        <v>812</v>
      </c>
      <c r="S111" s="395"/>
      <c r="T111" s="314" t="s">
        <v>2215</v>
      </c>
      <c r="U111" s="305" t="s">
        <v>2211</v>
      </c>
      <c r="V111" s="305" t="s">
        <v>2207</v>
      </c>
      <c r="W111" s="308" t="s">
        <v>2208</v>
      </c>
      <c r="X111" s="310"/>
    </row>
    <row r="112" spans="6:24" ht="13.7" customHeight="1" thickTop="1">
      <c r="F112" t="s">
        <v>911</v>
      </c>
      <c r="G112">
        <v>12000</v>
      </c>
      <c r="H112" s="225" t="s">
        <v>912</v>
      </c>
      <c r="J112" s="229" t="s">
        <v>1041</v>
      </c>
      <c r="L112" s="141" t="s">
        <v>588</v>
      </c>
      <c r="M112" t="s">
        <v>1933</v>
      </c>
      <c r="N112" t="s">
        <v>580</v>
      </c>
      <c r="P112" t="s">
        <v>1820</v>
      </c>
      <c r="Q112" s="225" t="s">
        <v>812</v>
      </c>
      <c r="S112" s="395"/>
      <c r="T112" s="311" t="s">
        <v>2216</v>
      </c>
      <c r="U112" s="305" t="s">
        <v>2211</v>
      </c>
      <c r="V112" s="305" t="s">
        <v>2207</v>
      </c>
      <c r="W112" s="308" t="s">
        <v>2208</v>
      </c>
      <c r="X112" s="310"/>
    </row>
    <row r="113" spans="6:24" ht="13.7" thickBot="1">
      <c r="F113" t="s">
        <v>913</v>
      </c>
      <c r="G113">
        <v>12001</v>
      </c>
      <c r="H113" s="225" t="s">
        <v>914</v>
      </c>
      <c r="J113" s="230" t="s">
        <v>1042</v>
      </c>
      <c r="L113" s="141" t="s">
        <v>589</v>
      </c>
      <c r="M113" t="s">
        <v>1933</v>
      </c>
      <c r="N113" t="s">
        <v>590</v>
      </c>
      <c r="P113" t="s">
        <v>1814</v>
      </c>
      <c r="Q113" s="225" t="s">
        <v>812</v>
      </c>
      <c r="S113" s="395"/>
      <c r="T113" s="311" t="s">
        <v>1721</v>
      </c>
      <c r="U113" s="305" t="s">
        <v>2211</v>
      </c>
      <c r="V113" s="305" t="s">
        <v>2207</v>
      </c>
      <c r="W113" s="308" t="s">
        <v>2208</v>
      </c>
      <c r="X113" s="310"/>
    </row>
    <row r="114" spans="6:24" ht="14.4" thickTop="1" thickBot="1">
      <c r="F114" t="s">
        <v>915</v>
      </c>
      <c r="G114">
        <v>12002</v>
      </c>
      <c r="H114" s="225" t="s">
        <v>916</v>
      </c>
      <c r="J114" s="229" t="s">
        <v>1043</v>
      </c>
      <c r="L114" s="169" t="s">
        <v>590</v>
      </c>
      <c r="M114" t="s">
        <v>1933</v>
      </c>
      <c r="N114" t="s">
        <v>1823</v>
      </c>
      <c r="P114" t="s">
        <v>1820</v>
      </c>
      <c r="Q114" s="225" t="s">
        <v>812</v>
      </c>
      <c r="S114" s="395"/>
      <c r="T114" s="311" t="s">
        <v>2217</v>
      </c>
      <c r="U114" s="305" t="s">
        <v>2211</v>
      </c>
      <c r="V114" s="305" t="s">
        <v>2207</v>
      </c>
      <c r="W114" s="308" t="s">
        <v>2208</v>
      </c>
      <c r="X114" s="310"/>
    </row>
    <row r="115" spans="6:24" ht="13.7" thickBot="1">
      <c r="F115" s="226" t="s">
        <v>2219</v>
      </c>
      <c r="G115">
        <v>12002</v>
      </c>
      <c r="H115" s="227" t="s">
        <v>2220</v>
      </c>
      <c r="J115" s="230" t="s">
        <v>1044</v>
      </c>
      <c r="L115" s="184" t="s">
        <v>591</v>
      </c>
      <c r="M115" t="s">
        <v>1933</v>
      </c>
      <c r="N115" t="s">
        <v>589</v>
      </c>
      <c r="P115" t="s">
        <v>1822</v>
      </c>
      <c r="Q115" s="225" t="s">
        <v>812</v>
      </c>
      <c r="S115" s="395"/>
      <c r="T115" s="311" t="s">
        <v>253</v>
      </c>
      <c r="U115" s="305" t="s">
        <v>2211</v>
      </c>
      <c r="V115" s="305" t="s">
        <v>2207</v>
      </c>
      <c r="W115" s="308" t="s">
        <v>2208</v>
      </c>
      <c r="X115" s="310"/>
    </row>
    <row r="116" spans="6:24" ht="13.7" thickTop="1">
      <c r="F116" s="226" t="s">
        <v>2223</v>
      </c>
      <c r="G116">
        <v>12002</v>
      </c>
      <c r="H116" s="227" t="s">
        <v>2224</v>
      </c>
      <c r="J116" s="229" t="s">
        <v>1045</v>
      </c>
      <c r="L116" s="188" t="s">
        <v>592</v>
      </c>
      <c r="M116" t="s">
        <v>1933</v>
      </c>
      <c r="N116" t="s">
        <v>588</v>
      </c>
      <c r="P116" t="s">
        <v>1820</v>
      </c>
      <c r="Q116" s="225" t="s">
        <v>812</v>
      </c>
      <c r="S116" s="395"/>
      <c r="T116" s="311" t="s">
        <v>2218</v>
      </c>
      <c r="U116" s="305" t="s">
        <v>2201</v>
      </c>
      <c r="V116" s="305" t="s">
        <v>2207</v>
      </c>
      <c r="W116" s="308" t="s">
        <v>2208</v>
      </c>
      <c r="X116" s="310"/>
    </row>
    <row r="117" spans="6:24" ht="13.7" thickBot="1">
      <c r="F117" t="s">
        <v>917</v>
      </c>
      <c r="G117">
        <v>13000</v>
      </c>
      <c r="H117" s="225" t="s">
        <v>918</v>
      </c>
      <c r="J117" s="230" t="s">
        <v>1046</v>
      </c>
      <c r="L117" s="188" t="s">
        <v>593</v>
      </c>
      <c r="M117" t="s">
        <v>1933</v>
      </c>
      <c r="N117" t="s">
        <v>1005</v>
      </c>
      <c r="P117" t="s">
        <v>1824</v>
      </c>
      <c r="Q117" s="225" t="s">
        <v>102</v>
      </c>
      <c r="S117" s="395"/>
      <c r="T117" s="311" t="s">
        <v>2221</v>
      </c>
      <c r="U117" s="305" t="s">
        <v>2222</v>
      </c>
      <c r="V117" s="305" t="s">
        <v>2207</v>
      </c>
      <c r="W117" s="308" t="s">
        <v>2208</v>
      </c>
      <c r="X117" s="310"/>
    </row>
    <row r="118" spans="6:24" ht="13.7" thickTop="1">
      <c r="F118" t="s">
        <v>919</v>
      </c>
      <c r="G118">
        <v>13001</v>
      </c>
      <c r="H118" s="225" t="s">
        <v>920</v>
      </c>
      <c r="J118" s="229" t="s">
        <v>1047</v>
      </c>
      <c r="L118" s="118" t="s">
        <v>594</v>
      </c>
      <c r="M118" t="s">
        <v>1933</v>
      </c>
      <c r="N118" t="s">
        <v>1825</v>
      </c>
      <c r="P118" t="s">
        <v>1824</v>
      </c>
      <c r="Q118" s="225" t="s">
        <v>102</v>
      </c>
      <c r="S118" s="395"/>
      <c r="T118" s="311" t="s">
        <v>2225</v>
      </c>
      <c r="U118" s="305" t="s">
        <v>2201</v>
      </c>
      <c r="V118" s="305" t="s">
        <v>2207</v>
      </c>
      <c r="W118" s="308" t="s">
        <v>2208</v>
      </c>
      <c r="X118" s="310"/>
    </row>
    <row r="119" spans="6:24" ht="13.7" thickBot="1">
      <c r="F119" t="s">
        <v>921</v>
      </c>
      <c r="G119">
        <v>13002</v>
      </c>
      <c r="H119" s="225" t="s">
        <v>922</v>
      </c>
      <c r="J119" s="230" t="s">
        <v>1048</v>
      </c>
      <c r="L119" s="141" t="s">
        <v>595</v>
      </c>
      <c r="M119" t="s">
        <v>1933</v>
      </c>
      <c r="N119" t="s">
        <v>1826</v>
      </c>
      <c r="P119" t="s">
        <v>1683</v>
      </c>
      <c r="Q119" s="225" t="s">
        <v>102</v>
      </c>
      <c r="S119" s="395"/>
      <c r="T119" s="311" t="s">
        <v>2226</v>
      </c>
      <c r="U119" s="305" t="s">
        <v>2211</v>
      </c>
      <c r="V119" s="305" t="s">
        <v>2207</v>
      </c>
      <c r="W119" s="308" t="s">
        <v>2208</v>
      </c>
      <c r="X119" s="310"/>
    </row>
    <row r="120" spans="6:24" ht="13.7" thickTop="1">
      <c r="F120" t="s">
        <v>923</v>
      </c>
      <c r="G120">
        <v>14000</v>
      </c>
      <c r="H120" s="225" t="s">
        <v>924</v>
      </c>
      <c r="J120" s="229" t="s">
        <v>1049</v>
      </c>
      <c r="L120" s="130" t="s">
        <v>596</v>
      </c>
      <c r="M120" t="s">
        <v>1933</v>
      </c>
      <c r="N120" t="s">
        <v>564</v>
      </c>
      <c r="P120" t="s">
        <v>1827</v>
      </c>
      <c r="Q120" s="225" t="s">
        <v>102</v>
      </c>
      <c r="S120" s="395"/>
      <c r="T120" s="314" t="s">
        <v>2227</v>
      </c>
      <c r="U120" s="305" t="s">
        <v>2228</v>
      </c>
      <c r="V120" s="305" t="s">
        <v>2207</v>
      </c>
      <c r="W120" s="308" t="s">
        <v>2208</v>
      </c>
      <c r="X120" s="310"/>
    </row>
    <row r="121" spans="6:24" ht="13.7" customHeight="1" thickBot="1">
      <c r="F121" t="s">
        <v>925</v>
      </c>
      <c r="G121">
        <v>14001</v>
      </c>
      <c r="H121" s="225" t="s">
        <v>926</v>
      </c>
      <c r="J121" s="230" t="s">
        <v>1050</v>
      </c>
      <c r="L121" s="130" t="s">
        <v>597</v>
      </c>
      <c r="M121" t="s">
        <v>1933</v>
      </c>
      <c r="N121" t="s">
        <v>986</v>
      </c>
      <c r="P121" t="s">
        <v>1828</v>
      </c>
      <c r="Q121" s="225" t="s">
        <v>102</v>
      </c>
      <c r="S121" s="395"/>
      <c r="T121" s="311" t="s">
        <v>2229</v>
      </c>
      <c r="U121" s="305" t="s">
        <v>2230</v>
      </c>
      <c r="V121" s="305" t="s">
        <v>2207</v>
      </c>
      <c r="W121" s="308" t="s">
        <v>2208</v>
      </c>
      <c r="X121" s="310"/>
    </row>
    <row r="122" spans="6:24" ht="13.7" thickTop="1">
      <c r="F122" t="s">
        <v>927</v>
      </c>
      <c r="G122">
        <v>14002</v>
      </c>
      <c r="H122" s="225" t="s">
        <v>928</v>
      </c>
      <c r="J122" s="229" t="s">
        <v>1051</v>
      </c>
      <c r="L122" s="130" t="s">
        <v>598</v>
      </c>
      <c r="M122" t="s">
        <v>1933</v>
      </c>
      <c r="N122" t="s">
        <v>500</v>
      </c>
      <c r="P122" t="s">
        <v>1828</v>
      </c>
      <c r="Q122" s="225" t="s">
        <v>102</v>
      </c>
      <c r="S122" s="395"/>
      <c r="T122" s="311" t="s">
        <v>2231</v>
      </c>
      <c r="U122" s="305" t="s">
        <v>2211</v>
      </c>
      <c r="V122" s="305" t="s">
        <v>2207</v>
      </c>
      <c r="W122" s="308" t="s">
        <v>2208</v>
      </c>
      <c r="X122" s="310"/>
    </row>
    <row r="123" spans="6:24" ht="13.7" thickBot="1">
      <c r="F123" t="s">
        <v>929</v>
      </c>
      <c r="G123">
        <v>14003</v>
      </c>
      <c r="H123" s="225" t="s">
        <v>930</v>
      </c>
      <c r="J123" s="230" t="s">
        <v>1052</v>
      </c>
      <c r="L123" s="118" t="s">
        <v>528</v>
      </c>
      <c r="M123" t="s">
        <v>1933</v>
      </c>
      <c r="N123" t="s">
        <v>501</v>
      </c>
      <c r="P123" t="s">
        <v>1828</v>
      </c>
      <c r="Q123" s="225" t="s">
        <v>102</v>
      </c>
      <c r="S123" s="395"/>
      <c r="T123" s="311" t="s">
        <v>1722</v>
      </c>
      <c r="U123" s="305" t="s">
        <v>2211</v>
      </c>
      <c r="V123" s="305" t="s">
        <v>2207</v>
      </c>
      <c r="W123" s="308" t="s">
        <v>2208</v>
      </c>
      <c r="X123" s="310"/>
    </row>
    <row r="124" spans="6:24" ht="13.7" thickTop="1">
      <c r="F124" t="s">
        <v>931</v>
      </c>
      <c r="G124">
        <v>14004</v>
      </c>
      <c r="H124" s="225" t="s">
        <v>932</v>
      </c>
      <c r="J124" s="229" t="s">
        <v>2233</v>
      </c>
      <c r="L124" s="130" t="s">
        <v>599</v>
      </c>
      <c r="M124" t="s">
        <v>1933</v>
      </c>
      <c r="N124" t="s">
        <v>1829</v>
      </c>
      <c r="P124" t="s">
        <v>1828</v>
      </c>
      <c r="Q124" s="225" t="s">
        <v>102</v>
      </c>
      <c r="S124" s="395"/>
      <c r="T124" s="311" t="s">
        <v>2632</v>
      </c>
      <c r="U124" s="305" t="s">
        <v>2211</v>
      </c>
      <c r="V124" s="305" t="s">
        <v>2207</v>
      </c>
      <c r="W124" s="308" t="s">
        <v>2208</v>
      </c>
      <c r="X124" s="310" t="s">
        <v>2633</v>
      </c>
    </row>
    <row r="125" spans="6:24" ht="13">
      <c r="F125" t="s">
        <v>933</v>
      </c>
      <c r="G125">
        <v>14005</v>
      </c>
      <c r="H125" s="225" t="s">
        <v>934</v>
      </c>
      <c r="J125" s="232" t="s">
        <v>134</v>
      </c>
      <c r="L125" s="130" t="s">
        <v>600</v>
      </c>
      <c r="M125" t="s">
        <v>1933</v>
      </c>
      <c r="N125" t="s">
        <v>1830</v>
      </c>
      <c r="P125" t="s">
        <v>1828</v>
      </c>
      <c r="Q125" s="225" t="s">
        <v>102</v>
      </c>
      <c r="S125" s="395"/>
      <c r="T125" s="311" t="s">
        <v>2232</v>
      </c>
      <c r="U125" s="305" t="s">
        <v>2211</v>
      </c>
      <c r="V125" s="305" t="s">
        <v>2207</v>
      </c>
      <c r="W125" s="308" t="s">
        <v>2208</v>
      </c>
      <c r="X125" s="310"/>
    </row>
    <row r="126" spans="6:24" ht="13.7" thickBot="1">
      <c r="F126" t="s">
        <v>935</v>
      </c>
      <c r="G126">
        <v>14006</v>
      </c>
      <c r="H126" s="225" t="s">
        <v>936</v>
      </c>
      <c r="J126" s="231" t="s">
        <v>135</v>
      </c>
      <c r="L126" s="130" t="s">
        <v>601</v>
      </c>
      <c r="M126" t="s">
        <v>1933</v>
      </c>
      <c r="N126" t="s">
        <v>1831</v>
      </c>
      <c r="P126" t="s">
        <v>1827</v>
      </c>
      <c r="Q126" s="225" t="s">
        <v>102</v>
      </c>
      <c r="S126" s="395"/>
      <c r="T126" s="311" t="s">
        <v>2234</v>
      </c>
      <c r="U126" s="305" t="s">
        <v>2211</v>
      </c>
      <c r="V126" s="305" t="s">
        <v>2207</v>
      </c>
      <c r="W126" s="308" t="s">
        <v>2208</v>
      </c>
      <c r="X126" s="310"/>
    </row>
    <row r="127" spans="6:24" ht="13.7" thickTop="1">
      <c r="F127" t="s">
        <v>937</v>
      </c>
      <c r="G127">
        <v>14007</v>
      </c>
      <c r="H127" s="225" t="s">
        <v>938</v>
      </c>
      <c r="J127" s="229" t="s">
        <v>1053</v>
      </c>
      <c r="L127" s="130" t="s">
        <v>602</v>
      </c>
      <c r="M127" t="s">
        <v>1933</v>
      </c>
      <c r="N127" t="s">
        <v>506</v>
      </c>
      <c r="P127" t="s">
        <v>1832</v>
      </c>
      <c r="Q127" s="225" t="s">
        <v>103</v>
      </c>
      <c r="S127" s="395"/>
      <c r="T127" s="311" t="s">
        <v>2235</v>
      </c>
      <c r="U127" s="305" t="s">
        <v>2211</v>
      </c>
      <c r="V127" s="305" t="s">
        <v>2207</v>
      </c>
      <c r="W127" s="308" t="s">
        <v>2208</v>
      </c>
      <c r="X127" s="310"/>
    </row>
    <row r="128" spans="6:24" ht="13.7" thickBot="1">
      <c r="F128" t="s">
        <v>939</v>
      </c>
      <c r="G128">
        <v>14008</v>
      </c>
      <c r="H128" s="225" t="s">
        <v>940</v>
      </c>
      <c r="J128" s="230" t="s">
        <v>1054</v>
      </c>
      <c r="L128" s="130" t="s">
        <v>603</v>
      </c>
      <c r="M128" t="s">
        <v>1933</v>
      </c>
      <c r="N128" t="s">
        <v>507</v>
      </c>
      <c r="P128" t="s">
        <v>1832</v>
      </c>
      <c r="Q128" s="225" t="s">
        <v>103</v>
      </c>
      <c r="S128" s="395"/>
      <c r="T128" s="314" t="s">
        <v>2236</v>
      </c>
      <c r="U128" s="305" t="s">
        <v>2211</v>
      </c>
      <c r="V128" s="305" t="s">
        <v>2207</v>
      </c>
      <c r="W128" s="308" t="s">
        <v>2208</v>
      </c>
      <c r="X128" s="315"/>
    </row>
    <row r="129" spans="6:24" ht="13.7" thickTop="1">
      <c r="F129" t="s">
        <v>941</v>
      </c>
      <c r="G129">
        <v>14009</v>
      </c>
      <c r="H129" s="225" t="s">
        <v>942</v>
      </c>
      <c r="J129" s="229" t="s">
        <v>1055</v>
      </c>
      <c r="L129" s="130" t="s">
        <v>604</v>
      </c>
      <c r="M129" t="s">
        <v>1933</v>
      </c>
      <c r="N129" t="s">
        <v>689</v>
      </c>
      <c r="P129" t="s">
        <v>1685</v>
      </c>
      <c r="Q129" s="225" t="s">
        <v>868</v>
      </c>
      <c r="S129" s="395"/>
      <c r="T129" s="311" t="s">
        <v>2237</v>
      </c>
      <c r="U129" s="305" t="s">
        <v>2238</v>
      </c>
      <c r="V129" s="305" t="s">
        <v>2207</v>
      </c>
      <c r="W129" s="308" t="s">
        <v>2208</v>
      </c>
      <c r="X129" s="315"/>
    </row>
    <row r="130" spans="6:24" ht="13.7" thickBot="1">
      <c r="F130" t="s">
        <v>943</v>
      </c>
      <c r="G130">
        <v>15000</v>
      </c>
      <c r="H130" s="225" t="s">
        <v>944</v>
      </c>
      <c r="J130" s="230" t="s">
        <v>1056</v>
      </c>
      <c r="L130" s="130" t="s">
        <v>605</v>
      </c>
      <c r="M130" t="s">
        <v>1933</v>
      </c>
      <c r="N130" t="s">
        <v>1833</v>
      </c>
      <c r="P130" t="s">
        <v>1685</v>
      </c>
      <c r="Q130" s="225" t="s">
        <v>868</v>
      </c>
      <c r="S130" s="395"/>
      <c r="T130" s="311" t="s">
        <v>2239</v>
      </c>
      <c r="U130" s="305" t="s">
        <v>2238</v>
      </c>
      <c r="V130" s="305" t="s">
        <v>2207</v>
      </c>
      <c r="W130" s="308" t="s">
        <v>2208</v>
      </c>
      <c r="X130" s="315"/>
    </row>
    <row r="131" spans="6:24" ht="13.7" thickTop="1">
      <c r="F131" t="s">
        <v>945</v>
      </c>
      <c r="G131">
        <v>15001</v>
      </c>
      <c r="H131" s="225" t="s">
        <v>946</v>
      </c>
      <c r="J131" s="229" t="s">
        <v>1057</v>
      </c>
      <c r="L131" s="130" t="s">
        <v>606</v>
      </c>
      <c r="M131" t="s">
        <v>1933</v>
      </c>
      <c r="N131" t="s">
        <v>1686</v>
      </c>
      <c r="P131" t="s">
        <v>1685</v>
      </c>
      <c r="Q131" s="225" t="s">
        <v>868</v>
      </c>
      <c r="S131" s="394" t="s">
        <v>2181</v>
      </c>
      <c r="T131" s="311" t="s">
        <v>2240</v>
      </c>
      <c r="U131" s="305" t="s">
        <v>2222</v>
      </c>
      <c r="V131" s="305" t="s">
        <v>2207</v>
      </c>
      <c r="W131" s="308" t="s">
        <v>2208</v>
      </c>
      <c r="X131" s="315"/>
    </row>
    <row r="132" spans="6:24" ht="13.7" thickBot="1">
      <c r="F132" t="s">
        <v>947</v>
      </c>
      <c r="G132">
        <v>15002</v>
      </c>
      <c r="H132" s="225" t="s">
        <v>948</v>
      </c>
      <c r="J132" s="230" t="s">
        <v>1058</v>
      </c>
      <c r="L132" s="130" t="s">
        <v>607</v>
      </c>
      <c r="M132" t="s">
        <v>1933</v>
      </c>
      <c r="N132" t="s">
        <v>598</v>
      </c>
      <c r="P132" t="s">
        <v>1685</v>
      </c>
      <c r="Q132" s="225" t="s">
        <v>868</v>
      </c>
      <c r="S132" s="395"/>
      <c r="T132" s="311" t="s">
        <v>2241</v>
      </c>
      <c r="U132" s="305" t="s">
        <v>2238</v>
      </c>
      <c r="V132" s="305" t="s">
        <v>2207</v>
      </c>
      <c r="W132" s="308" t="s">
        <v>2208</v>
      </c>
      <c r="X132" s="315"/>
    </row>
    <row r="133" spans="6:24" ht="25.2" customHeight="1" thickTop="1">
      <c r="F133" t="s">
        <v>949</v>
      </c>
      <c r="G133">
        <v>15003</v>
      </c>
      <c r="H133" s="225" t="s">
        <v>950</v>
      </c>
      <c r="J133" s="229" t="s">
        <v>1059</v>
      </c>
      <c r="L133" s="130" t="s">
        <v>608</v>
      </c>
      <c r="M133" t="s">
        <v>1933</v>
      </c>
      <c r="N133" t="s">
        <v>624</v>
      </c>
      <c r="P133" t="s">
        <v>1685</v>
      </c>
      <c r="Q133" s="225" t="s">
        <v>868</v>
      </c>
      <c r="S133" s="396"/>
      <c r="T133" s="311" t="s">
        <v>2242</v>
      </c>
      <c r="U133" s="305" t="s">
        <v>2183</v>
      </c>
      <c r="V133" s="305" t="s">
        <v>2243</v>
      </c>
      <c r="W133" s="308" t="s">
        <v>2244</v>
      </c>
      <c r="X133" s="315"/>
    </row>
    <row r="134" spans="6:24" ht="13.7" thickBot="1">
      <c r="F134" t="s">
        <v>951</v>
      </c>
      <c r="G134">
        <v>15004</v>
      </c>
      <c r="H134" s="225" t="s">
        <v>952</v>
      </c>
      <c r="J134" s="230" t="s">
        <v>1060</v>
      </c>
      <c r="L134" s="130" t="s">
        <v>609</v>
      </c>
      <c r="M134" t="s">
        <v>1933</v>
      </c>
      <c r="N134" t="s">
        <v>594</v>
      </c>
      <c r="P134" t="s">
        <v>1685</v>
      </c>
      <c r="Q134" s="225" t="s">
        <v>868</v>
      </c>
      <c r="S134" s="394" t="s">
        <v>2246</v>
      </c>
      <c r="T134" s="311" t="s">
        <v>2242</v>
      </c>
      <c r="U134" s="305" t="s">
        <v>2183</v>
      </c>
      <c r="V134" s="305" t="s">
        <v>2243</v>
      </c>
      <c r="W134" s="308" t="s">
        <v>2244</v>
      </c>
      <c r="X134" s="315"/>
    </row>
    <row r="135" spans="6:24" ht="13.7" customHeight="1" thickTop="1">
      <c r="F135" t="s">
        <v>953</v>
      </c>
      <c r="G135">
        <v>15005</v>
      </c>
      <c r="H135" s="225" t="s">
        <v>954</v>
      </c>
      <c r="J135" s="229" t="s">
        <v>1061</v>
      </c>
      <c r="L135" s="130" t="s">
        <v>610</v>
      </c>
      <c r="M135" t="s">
        <v>1933</v>
      </c>
      <c r="N135" t="s">
        <v>1835</v>
      </c>
      <c r="P135" t="s">
        <v>1685</v>
      </c>
      <c r="Q135" s="225" t="s">
        <v>868</v>
      </c>
      <c r="S135" s="395"/>
      <c r="T135" s="311" t="s">
        <v>2245</v>
      </c>
      <c r="U135" s="305" t="s">
        <v>2211</v>
      </c>
      <c r="V135" s="305" t="s">
        <v>2243</v>
      </c>
      <c r="W135" s="308" t="s">
        <v>2244</v>
      </c>
      <c r="X135" s="315"/>
    </row>
    <row r="136" spans="6:24" ht="13">
      <c r="F136" t="s">
        <v>955</v>
      </c>
      <c r="G136">
        <v>15006</v>
      </c>
      <c r="H136" s="225" t="s">
        <v>956</v>
      </c>
      <c r="J136" s="232" t="s">
        <v>1062</v>
      </c>
      <c r="L136" s="130" t="s">
        <v>611</v>
      </c>
      <c r="M136" t="s">
        <v>1933</v>
      </c>
      <c r="N136" t="s">
        <v>528</v>
      </c>
      <c r="P136" t="s">
        <v>1685</v>
      </c>
      <c r="Q136" s="225" t="s">
        <v>868</v>
      </c>
      <c r="S136" s="395"/>
      <c r="T136" s="311" t="s">
        <v>2247</v>
      </c>
      <c r="U136" s="305" t="s">
        <v>2026</v>
      </c>
      <c r="V136" s="305" t="s">
        <v>1834</v>
      </c>
      <c r="W136" s="308" t="s">
        <v>886</v>
      </c>
      <c r="X136" s="310"/>
    </row>
    <row r="137" spans="6:24" ht="13.7" thickBot="1">
      <c r="F137" t="s">
        <v>957</v>
      </c>
      <c r="G137">
        <v>15007</v>
      </c>
      <c r="H137" s="225" t="s">
        <v>958</v>
      </c>
      <c r="J137" s="230" t="s">
        <v>1063</v>
      </c>
      <c r="L137" s="130" t="s">
        <v>612</v>
      </c>
      <c r="M137" t="s">
        <v>1933</v>
      </c>
      <c r="N137" t="s">
        <v>599</v>
      </c>
      <c r="P137" t="s">
        <v>1836</v>
      </c>
      <c r="Q137" s="225" t="s">
        <v>868</v>
      </c>
      <c r="S137" s="395"/>
      <c r="T137" s="311" t="s">
        <v>2248</v>
      </c>
      <c r="U137" s="305" t="s">
        <v>2249</v>
      </c>
      <c r="V137" s="305" t="s">
        <v>1834</v>
      </c>
      <c r="W137" s="308" t="s">
        <v>886</v>
      </c>
      <c r="X137" s="310"/>
    </row>
    <row r="138" spans="6:24" ht="13.7" customHeight="1" thickTop="1">
      <c r="F138" t="s">
        <v>959</v>
      </c>
      <c r="G138">
        <v>15008</v>
      </c>
      <c r="H138" s="225" t="s">
        <v>960</v>
      </c>
      <c r="J138" s="229" t="s">
        <v>1064</v>
      </c>
      <c r="L138" s="130" t="s">
        <v>613</v>
      </c>
      <c r="M138" t="s">
        <v>1933</v>
      </c>
      <c r="N138" t="s">
        <v>601</v>
      </c>
      <c r="P138" t="s">
        <v>1685</v>
      </c>
      <c r="Q138" s="225" t="s">
        <v>868</v>
      </c>
      <c r="S138" s="395"/>
      <c r="T138" s="311" t="s">
        <v>2250</v>
      </c>
      <c r="U138" s="305" t="s">
        <v>2251</v>
      </c>
      <c r="V138" s="305" t="s">
        <v>1834</v>
      </c>
      <c r="W138" s="308" t="s">
        <v>886</v>
      </c>
      <c r="X138" s="310"/>
    </row>
    <row r="139" spans="6:24" ht="13.7" thickBot="1">
      <c r="F139" t="s">
        <v>961</v>
      </c>
      <c r="G139">
        <v>15009</v>
      </c>
      <c r="H139" s="225" t="s">
        <v>962</v>
      </c>
      <c r="J139" s="230" t="s">
        <v>1065</v>
      </c>
      <c r="L139" s="192" t="s">
        <v>614</v>
      </c>
      <c r="M139" t="s">
        <v>1933</v>
      </c>
      <c r="N139" t="s">
        <v>693</v>
      </c>
      <c r="P139" t="s">
        <v>1685</v>
      </c>
      <c r="Q139" s="225" t="s">
        <v>868</v>
      </c>
      <c r="S139" s="395"/>
      <c r="T139" s="311" t="s">
        <v>2252</v>
      </c>
      <c r="U139" s="305" t="s">
        <v>2253</v>
      </c>
      <c r="V139" s="305" t="s">
        <v>1834</v>
      </c>
      <c r="W139" s="308" t="s">
        <v>886</v>
      </c>
      <c r="X139" s="310"/>
    </row>
    <row r="140" spans="6:24" ht="13.7" thickTop="1">
      <c r="F140" t="s">
        <v>963</v>
      </c>
      <c r="G140">
        <v>15010</v>
      </c>
      <c r="H140" s="225" t="s">
        <v>964</v>
      </c>
      <c r="J140" s="229" t="s">
        <v>1066</v>
      </c>
      <c r="L140" s="195" t="s">
        <v>615</v>
      </c>
      <c r="M140" t="s">
        <v>1933</v>
      </c>
      <c r="N140" t="s">
        <v>1687</v>
      </c>
      <c r="P140" t="s">
        <v>1685</v>
      </c>
      <c r="Q140" s="225" t="s">
        <v>868</v>
      </c>
      <c r="S140" s="395"/>
      <c r="T140" s="311" t="s">
        <v>2254</v>
      </c>
      <c r="U140" s="305" t="s">
        <v>2026</v>
      </c>
      <c r="V140" s="305" t="s">
        <v>1834</v>
      </c>
      <c r="W140" s="308" t="s">
        <v>886</v>
      </c>
      <c r="X140" s="310"/>
    </row>
    <row r="141" spans="6:24" ht="13.7" thickBot="1">
      <c r="F141" t="s">
        <v>965</v>
      </c>
      <c r="G141">
        <v>16000</v>
      </c>
      <c r="H141" s="225" t="s">
        <v>966</v>
      </c>
      <c r="J141" s="230" t="s">
        <v>1067</v>
      </c>
      <c r="L141" s="197" t="s">
        <v>616</v>
      </c>
      <c r="M141" t="s">
        <v>1933</v>
      </c>
      <c r="N141" t="s">
        <v>595</v>
      </c>
      <c r="P141" t="s">
        <v>1837</v>
      </c>
      <c r="Q141" s="225" t="s">
        <v>868</v>
      </c>
      <c r="S141" s="395"/>
      <c r="T141" s="311" t="s">
        <v>2255</v>
      </c>
      <c r="U141" s="305" t="s">
        <v>2253</v>
      </c>
      <c r="V141" s="305" t="s">
        <v>1834</v>
      </c>
      <c r="W141" s="308" t="s">
        <v>886</v>
      </c>
      <c r="X141" s="310"/>
    </row>
    <row r="142" spans="6:24" ht="13.7" customHeight="1" thickTop="1">
      <c r="F142" t="s">
        <v>967</v>
      </c>
      <c r="G142">
        <v>16001</v>
      </c>
      <c r="H142" s="225" t="s">
        <v>968</v>
      </c>
      <c r="J142" s="229" t="s">
        <v>1068</v>
      </c>
      <c r="L142" s="197" t="s">
        <v>617</v>
      </c>
      <c r="M142" t="s">
        <v>1933</v>
      </c>
      <c r="N142" t="s">
        <v>667</v>
      </c>
      <c r="P142" t="s">
        <v>1692</v>
      </c>
      <c r="Q142" s="225" t="s">
        <v>868</v>
      </c>
      <c r="S142" s="395"/>
      <c r="T142" s="311" t="s">
        <v>2256</v>
      </c>
      <c r="U142" s="305" t="s">
        <v>2253</v>
      </c>
      <c r="V142" s="305" t="s">
        <v>1834</v>
      </c>
      <c r="W142" s="308" t="s">
        <v>886</v>
      </c>
      <c r="X142" s="310"/>
    </row>
    <row r="143" spans="6:24" ht="26.65" thickBot="1">
      <c r="F143" t="s">
        <v>969</v>
      </c>
      <c r="G143">
        <v>16002</v>
      </c>
      <c r="H143" s="225" t="s">
        <v>970</v>
      </c>
      <c r="J143" s="232" t="s">
        <v>1069</v>
      </c>
      <c r="L143" s="197" t="s">
        <v>618</v>
      </c>
      <c r="M143" t="s">
        <v>1933</v>
      </c>
      <c r="N143" t="s">
        <v>1638</v>
      </c>
      <c r="P143" t="s">
        <v>1694</v>
      </c>
      <c r="Q143" s="225" t="s">
        <v>868</v>
      </c>
      <c r="S143" s="395"/>
      <c r="T143" s="311" t="s">
        <v>2257</v>
      </c>
      <c r="U143" s="305" t="s">
        <v>2026</v>
      </c>
      <c r="V143" s="305" t="s">
        <v>1834</v>
      </c>
      <c r="W143" s="308" t="s">
        <v>886</v>
      </c>
      <c r="X143" s="310"/>
    </row>
    <row r="144" spans="6:24" ht="26.65" thickTop="1">
      <c r="F144" t="s">
        <v>971</v>
      </c>
      <c r="G144">
        <v>17000</v>
      </c>
      <c r="H144" s="225" t="s">
        <v>972</v>
      </c>
      <c r="J144" s="229" t="s">
        <v>1070</v>
      </c>
      <c r="L144" s="197" t="s">
        <v>619</v>
      </c>
      <c r="M144" t="s">
        <v>1933</v>
      </c>
      <c r="N144" t="s">
        <v>1838</v>
      </c>
      <c r="P144" t="s">
        <v>1688</v>
      </c>
      <c r="Q144" s="225" t="s">
        <v>868</v>
      </c>
      <c r="S144" s="395"/>
      <c r="T144" s="311" t="s">
        <v>2258</v>
      </c>
      <c r="U144" s="305" t="s">
        <v>2026</v>
      </c>
      <c r="V144" s="305" t="s">
        <v>1834</v>
      </c>
      <c r="W144" s="308" t="s">
        <v>886</v>
      </c>
      <c r="X144" s="310"/>
    </row>
    <row r="145" spans="6:24" ht="26.65" thickBot="1">
      <c r="F145" t="s">
        <v>973</v>
      </c>
      <c r="G145">
        <v>17001</v>
      </c>
      <c r="H145" s="225" t="s">
        <v>974</v>
      </c>
      <c r="J145" s="230" t="s">
        <v>1071</v>
      </c>
      <c r="L145" s="197" t="s">
        <v>620</v>
      </c>
      <c r="M145" t="s">
        <v>1933</v>
      </c>
      <c r="N145" t="s">
        <v>1839</v>
      </c>
      <c r="P145" t="s">
        <v>1694</v>
      </c>
      <c r="Q145" s="225" t="s">
        <v>868</v>
      </c>
      <c r="S145" s="396"/>
      <c r="T145" s="304" t="s">
        <v>557</v>
      </c>
      <c r="U145" s="305" t="s">
        <v>2026</v>
      </c>
      <c r="V145" s="305" t="s">
        <v>1834</v>
      </c>
      <c r="W145" s="308" t="s">
        <v>886</v>
      </c>
      <c r="X145" s="316"/>
    </row>
    <row r="146" spans="6:24" ht="26.65" customHeight="1" thickTop="1">
      <c r="F146" t="s">
        <v>975</v>
      </c>
      <c r="G146">
        <v>17002</v>
      </c>
      <c r="H146" s="225" t="s">
        <v>976</v>
      </c>
      <c r="J146" s="229" t="s">
        <v>1072</v>
      </c>
      <c r="L146" s="197" t="s">
        <v>621</v>
      </c>
      <c r="M146" t="s">
        <v>1933</v>
      </c>
      <c r="N146" t="s">
        <v>1409</v>
      </c>
      <c r="P146" t="s">
        <v>1685</v>
      </c>
      <c r="Q146" s="225" t="s">
        <v>868</v>
      </c>
      <c r="S146" s="394" t="s">
        <v>2261</v>
      </c>
      <c r="T146" s="311" t="s">
        <v>2259</v>
      </c>
      <c r="U146" s="305" t="s">
        <v>2026</v>
      </c>
      <c r="V146" s="305" t="s">
        <v>1834</v>
      </c>
      <c r="W146" s="308" t="s">
        <v>886</v>
      </c>
      <c r="X146" s="310"/>
    </row>
    <row r="147" spans="6:24" ht="26.65" thickBot="1">
      <c r="F147" t="s">
        <v>977</v>
      </c>
      <c r="G147" s="225"/>
      <c r="H147" s="225" t="s">
        <v>978</v>
      </c>
      <c r="J147" s="230" t="s">
        <v>1073</v>
      </c>
      <c r="L147" s="197" t="s">
        <v>622</v>
      </c>
      <c r="M147" t="s">
        <v>1933</v>
      </c>
      <c r="N147" t="s">
        <v>1689</v>
      </c>
      <c r="P147" t="s">
        <v>1690</v>
      </c>
      <c r="Q147" s="225" t="s">
        <v>868</v>
      </c>
      <c r="S147" s="395"/>
      <c r="T147" s="311" t="s">
        <v>2260</v>
      </c>
      <c r="U147" s="305" t="s">
        <v>2026</v>
      </c>
      <c r="V147" s="305" t="s">
        <v>1834</v>
      </c>
      <c r="W147" s="308" t="s">
        <v>886</v>
      </c>
      <c r="X147" s="310"/>
    </row>
    <row r="148" spans="6:24" ht="33.15" thickTop="1">
      <c r="F148" t="s">
        <v>979</v>
      </c>
      <c r="G148" s="225"/>
      <c r="H148" s="225" t="s">
        <v>980</v>
      </c>
      <c r="J148" s="229" t="s">
        <v>1074</v>
      </c>
      <c r="L148" s="197" t="s">
        <v>623</v>
      </c>
      <c r="M148" t="s">
        <v>2062</v>
      </c>
      <c r="N148" t="s">
        <v>1691</v>
      </c>
      <c r="P148" t="s">
        <v>1692</v>
      </c>
      <c r="Q148" s="225" t="s">
        <v>868</v>
      </c>
      <c r="S148" s="313" t="s">
        <v>2270</v>
      </c>
      <c r="T148" s="311" t="s">
        <v>2262</v>
      </c>
      <c r="U148" s="305" t="s">
        <v>2263</v>
      </c>
      <c r="V148" s="305" t="s">
        <v>2264</v>
      </c>
      <c r="W148" s="308" t="s">
        <v>2265</v>
      </c>
      <c r="X148" s="310"/>
    </row>
    <row r="149" spans="6:24" ht="26.65" thickBot="1">
      <c r="J149" s="230" t="s">
        <v>1075</v>
      </c>
      <c r="L149" s="199" t="s">
        <v>624</v>
      </c>
      <c r="M149" t="s">
        <v>1933</v>
      </c>
      <c r="N149" t="s">
        <v>597</v>
      </c>
      <c r="P149" t="s">
        <v>1840</v>
      </c>
      <c r="Q149" s="225" t="s">
        <v>868</v>
      </c>
      <c r="S149" s="394" t="s">
        <v>2274</v>
      </c>
      <c r="T149" s="311" t="s">
        <v>2266</v>
      </c>
      <c r="U149" s="305" t="s">
        <v>2267</v>
      </c>
      <c r="V149" s="305" t="s">
        <v>2268</v>
      </c>
      <c r="W149" s="308" t="s">
        <v>2269</v>
      </c>
      <c r="X149" s="310"/>
    </row>
    <row r="150" spans="6:24" ht="13.7" thickTop="1">
      <c r="J150" s="229" t="s">
        <v>1076</v>
      </c>
      <c r="L150" s="195" t="s">
        <v>625</v>
      </c>
      <c r="M150" t="s">
        <v>1933</v>
      </c>
      <c r="N150" t="s">
        <v>1693</v>
      </c>
      <c r="P150" t="s">
        <v>1694</v>
      </c>
      <c r="Q150" s="225" t="s">
        <v>868</v>
      </c>
      <c r="S150" s="395"/>
      <c r="T150" s="311" t="s">
        <v>1784</v>
      </c>
      <c r="U150" s="305" t="s">
        <v>2271</v>
      </c>
      <c r="V150" s="305" t="s">
        <v>2272</v>
      </c>
      <c r="W150" s="308" t="s">
        <v>2273</v>
      </c>
      <c r="X150" s="310"/>
    </row>
    <row r="151" spans="6:24" ht="26.65" thickBot="1">
      <c r="J151" s="230" t="s">
        <v>1077</v>
      </c>
      <c r="L151" s="197" t="s">
        <v>626</v>
      </c>
      <c r="M151" t="s">
        <v>1933</v>
      </c>
      <c r="N151" t="s">
        <v>1695</v>
      </c>
      <c r="P151" t="s">
        <v>1694</v>
      </c>
      <c r="Q151" s="225" t="s">
        <v>868</v>
      </c>
      <c r="S151" s="395"/>
      <c r="T151" s="311" t="s">
        <v>1841</v>
      </c>
      <c r="U151" s="305" t="s">
        <v>2275</v>
      </c>
      <c r="V151" s="305" t="s">
        <v>2276</v>
      </c>
      <c r="W151" s="308" t="s">
        <v>2277</v>
      </c>
      <c r="X151" s="310" t="s">
        <v>2278</v>
      </c>
    </row>
    <row r="152" spans="6:24" ht="13.7" thickTop="1">
      <c r="J152" s="229" t="s">
        <v>1078</v>
      </c>
      <c r="L152" s="130" t="s">
        <v>627</v>
      </c>
      <c r="M152" t="s">
        <v>1933</v>
      </c>
      <c r="N152" t="s">
        <v>1842</v>
      </c>
      <c r="P152" t="s">
        <v>1764</v>
      </c>
      <c r="Q152" s="225" t="s">
        <v>868</v>
      </c>
      <c r="S152" s="395"/>
      <c r="T152" s="311" t="s">
        <v>2279</v>
      </c>
      <c r="U152" s="305" t="s">
        <v>2280</v>
      </c>
      <c r="V152" s="305" t="s">
        <v>2276</v>
      </c>
      <c r="W152" s="308" t="s">
        <v>2277</v>
      </c>
      <c r="X152" s="310"/>
    </row>
    <row r="153" spans="6:24" ht="13.7" thickBot="1">
      <c r="J153" s="230" t="s">
        <v>2284</v>
      </c>
      <c r="L153" s="141" t="s">
        <v>628</v>
      </c>
      <c r="M153" t="s">
        <v>1933</v>
      </c>
      <c r="N153" t="s">
        <v>592</v>
      </c>
      <c r="P153" t="s">
        <v>1764</v>
      </c>
      <c r="Q153" s="225" t="s">
        <v>868</v>
      </c>
      <c r="S153" s="395"/>
      <c r="T153" s="314" t="s">
        <v>2281</v>
      </c>
      <c r="U153" s="305" t="s">
        <v>2282</v>
      </c>
      <c r="V153" s="305" t="s">
        <v>2276</v>
      </c>
      <c r="W153" s="308" t="s">
        <v>2277</v>
      </c>
      <c r="X153" s="310"/>
    </row>
    <row r="154" spans="6:24" ht="26.65" thickTop="1">
      <c r="J154" s="229" t="s">
        <v>1079</v>
      </c>
      <c r="L154" s="197" t="s">
        <v>629</v>
      </c>
      <c r="M154" t="s">
        <v>1933</v>
      </c>
      <c r="N154" t="s">
        <v>602</v>
      </c>
      <c r="P154" t="s">
        <v>1685</v>
      </c>
      <c r="Q154" s="225" t="s">
        <v>868</v>
      </c>
      <c r="S154" s="395"/>
      <c r="T154" s="311" t="s">
        <v>2283</v>
      </c>
      <c r="U154" s="305" t="s">
        <v>2282</v>
      </c>
      <c r="V154" s="305" t="s">
        <v>2276</v>
      </c>
      <c r="W154" s="308" t="s">
        <v>2277</v>
      </c>
      <c r="X154" s="310"/>
    </row>
    <row r="155" spans="6:24" ht="13">
      <c r="J155" s="232" t="s">
        <v>1080</v>
      </c>
      <c r="L155" s="130" t="s">
        <v>630</v>
      </c>
      <c r="M155" t="s">
        <v>1933</v>
      </c>
      <c r="N155" t="s">
        <v>1843</v>
      </c>
      <c r="P155" t="s">
        <v>1688</v>
      </c>
      <c r="Q155" s="225" t="s">
        <v>868</v>
      </c>
      <c r="S155" s="395"/>
      <c r="T155" s="311" t="s">
        <v>2285</v>
      </c>
      <c r="U155" s="305" t="s">
        <v>2282</v>
      </c>
      <c r="V155" s="305" t="s">
        <v>2276</v>
      </c>
      <c r="W155" s="308" t="s">
        <v>2277</v>
      </c>
      <c r="X155" s="310"/>
    </row>
    <row r="156" spans="6:24" ht="13.7" customHeight="1" thickBot="1">
      <c r="J156" s="231" t="s">
        <v>1081</v>
      </c>
      <c r="L156" s="130" t="s">
        <v>631</v>
      </c>
      <c r="M156" t="s">
        <v>1933</v>
      </c>
      <c r="N156" t="s">
        <v>1696</v>
      </c>
      <c r="P156" t="s">
        <v>1685</v>
      </c>
      <c r="Q156" s="225" t="s">
        <v>868</v>
      </c>
      <c r="S156" s="395"/>
      <c r="T156" s="311" t="s">
        <v>2286</v>
      </c>
      <c r="U156" s="305" t="s">
        <v>2275</v>
      </c>
      <c r="V156" s="305" t="s">
        <v>2276</v>
      </c>
      <c r="W156" s="308" t="s">
        <v>2277</v>
      </c>
      <c r="X156" s="310"/>
    </row>
    <row r="157" spans="6:24" ht="13.7" thickTop="1">
      <c r="J157" s="229" t="s">
        <v>2289</v>
      </c>
      <c r="L157" s="130" t="s">
        <v>632</v>
      </c>
      <c r="M157" t="s">
        <v>1933</v>
      </c>
      <c r="N157" t="s">
        <v>1677</v>
      </c>
      <c r="P157" t="s">
        <v>1685</v>
      </c>
      <c r="Q157" s="225" t="s">
        <v>868</v>
      </c>
      <c r="S157" s="395"/>
      <c r="T157" s="314" t="s">
        <v>2287</v>
      </c>
      <c r="U157" s="305" t="s">
        <v>2282</v>
      </c>
      <c r="V157" s="305" t="s">
        <v>2276</v>
      </c>
      <c r="W157" s="308" t="s">
        <v>2277</v>
      </c>
      <c r="X157" s="310"/>
    </row>
    <row r="158" spans="6:24" ht="24.5">
      <c r="J158" s="232" t="s">
        <v>1082</v>
      </c>
      <c r="L158" s="208" t="s">
        <v>633</v>
      </c>
      <c r="M158" t="s">
        <v>1921</v>
      </c>
      <c r="N158" t="s">
        <v>1844</v>
      </c>
      <c r="P158" t="s">
        <v>1685</v>
      </c>
      <c r="Q158" s="225" t="s">
        <v>868</v>
      </c>
      <c r="S158" s="395"/>
      <c r="T158" s="311" t="s">
        <v>2288</v>
      </c>
      <c r="U158" s="305" t="s">
        <v>2275</v>
      </c>
      <c r="V158" s="305" t="s">
        <v>2276</v>
      </c>
      <c r="W158" s="308" t="s">
        <v>2277</v>
      </c>
      <c r="X158" s="310"/>
    </row>
    <row r="159" spans="6:24" ht="13.7" thickBot="1">
      <c r="J159" s="232" t="s">
        <v>1083</v>
      </c>
      <c r="L159" s="209" t="s">
        <v>255</v>
      </c>
      <c r="M159" t="s">
        <v>1921</v>
      </c>
      <c r="N159" t="s">
        <v>502</v>
      </c>
      <c r="P159" t="s">
        <v>1685</v>
      </c>
      <c r="Q159" s="225" t="s">
        <v>868</v>
      </c>
      <c r="S159" s="395"/>
      <c r="T159" s="311" t="s">
        <v>2290</v>
      </c>
      <c r="U159" s="305" t="s">
        <v>2291</v>
      </c>
      <c r="V159" s="305" t="s">
        <v>2292</v>
      </c>
      <c r="W159" s="308" t="s">
        <v>2293</v>
      </c>
      <c r="X159" s="310"/>
    </row>
    <row r="160" spans="6:24" ht="13" customHeight="1">
      <c r="J160" s="233" t="s">
        <v>1084</v>
      </c>
      <c r="L160" s="135" t="s">
        <v>634</v>
      </c>
      <c r="M160" t="s">
        <v>1921</v>
      </c>
      <c r="N160" t="s">
        <v>503</v>
      </c>
      <c r="P160" t="s">
        <v>1685</v>
      </c>
      <c r="Q160" s="225" t="s">
        <v>868</v>
      </c>
      <c r="S160" s="396"/>
      <c r="T160" s="314" t="s">
        <v>2634</v>
      </c>
      <c r="U160" s="305" t="s">
        <v>2291</v>
      </c>
      <c r="V160" s="305" t="s">
        <v>2292</v>
      </c>
      <c r="W160" s="308" t="s">
        <v>2293</v>
      </c>
      <c r="X160" s="310" t="s">
        <v>2635</v>
      </c>
    </row>
    <row r="161" spans="10:24" ht="13.7" thickBot="1">
      <c r="J161" s="232" t="s">
        <v>1085</v>
      </c>
      <c r="L161" s="141" t="s">
        <v>635</v>
      </c>
      <c r="M161" t="s">
        <v>1921</v>
      </c>
      <c r="N161" t="s">
        <v>508</v>
      </c>
      <c r="P161" t="s">
        <v>1685</v>
      </c>
      <c r="Q161" s="225" t="s">
        <v>868</v>
      </c>
      <c r="S161" s="394" t="s">
        <v>2296</v>
      </c>
      <c r="T161" s="314" t="s">
        <v>2636</v>
      </c>
      <c r="U161" s="305" t="s">
        <v>2291</v>
      </c>
      <c r="V161" s="305" t="s">
        <v>2292</v>
      </c>
      <c r="W161" s="308" t="s">
        <v>2293</v>
      </c>
      <c r="X161" s="310" t="s">
        <v>2637</v>
      </c>
    </row>
    <row r="162" spans="10:24" ht="13.7" thickTop="1">
      <c r="J162" s="229" t="s">
        <v>1086</v>
      </c>
      <c r="L162" s="141" t="s">
        <v>636</v>
      </c>
      <c r="M162" t="s">
        <v>1921</v>
      </c>
      <c r="N162" t="s">
        <v>253</v>
      </c>
      <c r="P162" t="s">
        <v>1685</v>
      </c>
      <c r="Q162" s="225" t="s">
        <v>868</v>
      </c>
      <c r="S162" s="395"/>
      <c r="T162" s="311" t="s">
        <v>2294</v>
      </c>
      <c r="U162" s="305" t="s">
        <v>2295</v>
      </c>
      <c r="V162" s="305" t="s">
        <v>2292</v>
      </c>
      <c r="W162" s="308" t="s">
        <v>2293</v>
      </c>
      <c r="X162" s="310"/>
    </row>
    <row r="163" spans="10:24" ht="13.7" thickBot="1">
      <c r="J163" s="230" t="s">
        <v>1087</v>
      </c>
      <c r="L163" s="141" t="s">
        <v>637</v>
      </c>
      <c r="M163" t="s">
        <v>1921</v>
      </c>
      <c r="N163" t="s">
        <v>259</v>
      </c>
      <c r="P163" t="s">
        <v>1685</v>
      </c>
      <c r="Q163" s="225" t="s">
        <v>868</v>
      </c>
      <c r="S163" s="396"/>
      <c r="T163" s="311" t="s">
        <v>2297</v>
      </c>
      <c r="U163" s="305" t="s">
        <v>2291</v>
      </c>
      <c r="V163" s="305" t="s">
        <v>2298</v>
      </c>
      <c r="W163" s="308" t="s">
        <v>2299</v>
      </c>
      <c r="X163" s="310"/>
    </row>
    <row r="164" spans="10:24" ht="13.7" thickTop="1">
      <c r="J164" s="229" t="s">
        <v>1088</v>
      </c>
      <c r="L164" s="141" t="s">
        <v>638</v>
      </c>
      <c r="M164" t="s">
        <v>1921</v>
      </c>
      <c r="N164" t="s">
        <v>600</v>
      </c>
      <c r="P164" t="s">
        <v>1694</v>
      </c>
      <c r="Q164" s="225" t="s">
        <v>868</v>
      </c>
      <c r="S164" s="394" t="s">
        <v>2300</v>
      </c>
      <c r="T164" s="311" t="s">
        <v>1678</v>
      </c>
      <c r="U164" s="305" t="s">
        <v>2291</v>
      </c>
      <c r="V164" s="305" t="s">
        <v>2298</v>
      </c>
      <c r="W164" s="308" t="s">
        <v>2299</v>
      </c>
      <c r="X164" s="310"/>
    </row>
    <row r="165" spans="10:24" ht="13">
      <c r="J165" s="232" t="s">
        <v>2305</v>
      </c>
      <c r="L165" s="141" t="s">
        <v>639</v>
      </c>
      <c r="M165" t="s">
        <v>1921</v>
      </c>
      <c r="N165" t="s">
        <v>611</v>
      </c>
      <c r="P165" t="s">
        <v>1685</v>
      </c>
      <c r="Q165" s="225" t="s">
        <v>868</v>
      </c>
      <c r="S165" s="395"/>
      <c r="T165" s="311" t="s">
        <v>1679</v>
      </c>
      <c r="U165" s="305" t="s">
        <v>2291</v>
      </c>
      <c r="V165" s="305" t="s">
        <v>2298</v>
      </c>
      <c r="W165" s="308" t="s">
        <v>2299</v>
      </c>
      <c r="X165" s="310"/>
    </row>
    <row r="166" spans="10:24" ht="13.7" thickBot="1">
      <c r="J166" s="231" t="s">
        <v>688</v>
      </c>
      <c r="L166" s="141" t="s">
        <v>640</v>
      </c>
      <c r="M166" t="s">
        <v>1921</v>
      </c>
      <c r="N166" t="s">
        <v>1845</v>
      </c>
      <c r="P166" t="s">
        <v>1685</v>
      </c>
      <c r="Q166" s="225" t="s">
        <v>868</v>
      </c>
      <c r="S166" s="395"/>
      <c r="T166" s="311" t="s">
        <v>2301</v>
      </c>
      <c r="U166" s="305" t="s">
        <v>2302</v>
      </c>
      <c r="V166" s="305" t="s">
        <v>2303</v>
      </c>
      <c r="W166" s="308" t="s">
        <v>2304</v>
      </c>
      <c r="X166" s="310"/>
    </row>
    <row r="167" spans="10:24" ht="13.7" thickTop="1">
      <c r="J167" s="229" t="s">
        <v>517</v>
      </c>
      <c r="L167" s="141" t="s">
        <v>641</v>
      </c>
      <c r="M167" t="s">
        <v>1933</v>
      </c>
      <c r="N167" t="s">
        <v>593</v>
      </c>
      <c r="P167" t="s">
        <v>1764</v>
      </c>
      <c r="Q167" s="225" t="s">
        <v>868</v>
      </c>
      <c r="S167" s="396"/>
      <c r="T167" s="314" t="s">
        <v>2306</v>
      </c>
      <c r="U167" s="305" t="s">
        <v>2302</v>
      </c>
      <c r="V167" s="305" t="s">
        <v>2303</v>
      </c>
      <c r="W167" s="308" t="s">
        <v>2304</v>
      </c>
      <c r="X167" s="310"/>
    </row>
    <row r="168" spans="10:24" ht="13.7" thickBot="1">
      <c r="J168" s="230" t="s">
        <v>1089</v>
      </c>
      <c r="L168" s="141" t="s">
        <v>642</v>
      </c>
      <c r="M168" t="s">
        <v>1933</v>
      </c>
      <c r="N168" t="s">
        <v>680</v>
      </c>
      <c r="P168" t="s">
        <v>1692</v>
      </c>
      <c r="Q168" s="225" t="s">
        <v>868</v>
      </c>
      <c r="S168" s="394" t="s">
        <v>2313</v>
      </c>
      <c r="T168" s="314" t="s">
        <v>2307</v>
      </c>
      <c r="U168" s="305" t="s">
        <v>2308</v>
      </c>
      <c r="V168" s="305" t="s">
        <v>2309</v>
      </c>
      <c r="W168" s="308" t="s">
        <v>2310</v>
      </c>
      <c r="X168" s="310"/>
    </row>
    <row r="169" spans="10:24" ht="13.7" thickTop="1">
      <c r="J169" s="229" t="s">
        <v>1090</v>
      </c>
      <c r="L169" s="141" t="s">
        <v>643</v>
      </c>
      <c r="M169" t="s">
        <v>1933</v>
      </c>
      <c r="N169" t="s">
        <v>690</v>
      </c>
      <c r="P169" t="s">
        <v>1685</v>
      </c>
      <c r="Q169" s="225" t="s">
        <v>868</v>
      </c>
      <c r="S169" s="395"/>
      <c r="T169" s="311" t="s">
        <v>2311</v>
      </c>
      <c r="U169" s="305" t="s">
        <v>2312</v>
      </c>
      <c r="V169" s="305" t="s">
        <v>2309</v>
      </c>
      <c r="W169" s="308" t="s">
        <v>2310</v>
      </c>
      <c r="X169" s="310"/>
    </row>
    <row r="170" spans="10:24" ht="13.7" thickBot="1">
      <c r="J170" s="230" t="s">
        <v>1091</v>
      </c>
      <c r="L170" s="141" t="s">
        <v>644</v>
      </c>
      <c r="M170" t="s">
        <v>1933</v>
      </c>
      <c r="N170" t="s">
        <v>1693</v>
      </c>
      <c r="P170" t="s">
        <v>1694</v>
      </c>
      <c r="Q170" s="225" t="s">
        <v>869</v>
      </c>
      <c r="S170" s="395"/>
      <c r="T170" s="311" t="s">
        <v>2314</v>
      </c>
      <c r="U170" s="305" t="s">
        <v>2308</v>
      </c>
      <c r="V170" s="305" t="s">
        <v>2309</v>
      </c>
      <c r="W170" s="308" t="s">
        <v>2310</v>
      </c>
      <c r="X170" s="310"/>
    </row>
    <row r="171" spans="10:24" ht="13.7" thickTop="1">
      <c r="J171" s="229" t="s">
        <v>1092</v>
      </c>
      <c r="L171" s="141" t="s">
        <v>645</v>
      </c>
      <c r="M171" t="s">
        <v>1933</v>
      </c>
      <c r="N171" t="s">
        <v>1695</v>
      </c>
      <c r="P171" t="s">
        <v>1694</v>
      </c>
      <c r="Q171" s="225" t="s">
        <v>869</v>
      </c>
      <c r="S171" s="396"/>
      <c r="T171" s="311" t="s">
        <v>2315</v>
      </c>
      <c r="U171" s="305" t="s">
        <v>2316</v>
      </c>
      <c r="V171" s="305" t="s">
        <v>2317</v>
      </c>
      <c r="W171" s="308" t="s">
        <v>2318</v>
      </c>
      <c r="X171" s="310"/>
    </row>
    <row r="172" spans="10:24" ht="13.7" thickBot="1">
      <c r="J172" s="230" t="s">
        <v>1093</v>
      </c>
      <c r="L172" s="141" t="s">
        <v>646</v>
      </c>
      <c r="M172" t="s">
        <v>1933</v>
      </c>
      <c r="N172" t="s">
        <v>1846</v>
      </c>
      <c r="P172" t="s">
        <v>94</v>
      </c>
      <c r="Q172" s="225" t="s">
        <v>104</v>
      </c>
      <c r="S172" s="394" t="s">
        <v>2322</v>
      </c>
      <c r="T172" s="311" t="s">
        <v>2319</v>
      </c>
      <c r="U172" s="305" t="s">
        <v>2316</v>
      </c>
      <c r="V172" s="305" t="s">
        <v>2317</v>
      </c>
      <c r="W172" s="308" t="s">
        <v>2318</v>
      </c>
      <c r="X172" s="310"/>
    </row>
    <row r="173" spans="10:24" ht="13.7" thickTop="1">
      <c r="J173" s="229" t="s">
        <v>1094</v>
      </c>
      <c r="L173" s="141" t="s">
        <v>647</v>
      </c>
      <c r="M173" t="s">
        <v>1933</v>
      </c>
      <c r="N173" t="s">
        <v>1847</v>
      </c>
      <c r="P173" t="s">
        <v>94</v>
      </c>
      <c r="Q173" s="225" t="s">
        <v>104</v>
      </c>
      <c r="S173" s="395"/>
      <c r="T173" s="311" t="s">
        <v>2320</v>
      </c>
      <c r="U173" s="305" t="s">
        <v>2321</v>
      </c>
      <c r="V173" s="305" t="s">
        <v>2317</v>
      </c>
      <c r="W173" s="308" t="s">
        <v>2318</v>
      </c>
      <c r="X173" s="310"/>
    </row>
    <row r="174" spans="10:24" ht="13.7" thickBot="1">
      <c r="J174" s="230" t="s">
        <v>1095</v>
      </c>
      <c r="L174" s="141" t="s">
        <v>648</v>
      </c>
      <c r="M174" t="s">
        <v>1933</v>
      </c>
      <c r="N174" t="s">
        <v>524</v>
      </c>
      <c r="P174" t="s">
        <v>1848</v>
      </c>
      <c r="Q174" s="225" t="s">
        <v>104</v>
      </c>
      <c r="S174" s="395"/>
      <c r="T174" s="311" t="s">
        <v>2323</v>
      </c>
      <c r="U174" s="305" t="s">
        <v>2321</v>
      </c>
      <c r="V174" s="305" t="s">
        <v>2317</v>
      </c>
      <c r="W174" s="308" t="s">
        <v>2318</v>
      </c>
      <c r="X174" s="310"/>
    </row>
    <row r="175" spans="10:24" ht="13.7" thickTop="1">
      <c r="J175" s="229" t="s">
        <v>1096</v>
      </c>
      <c r="L175" s="141" t="s">
        <v>649</v>
      </c>
      <c r="M175" t="s">
        <v>1921</v>
      </c>
      <c r="N175" t="s">
        <v>692</v>
      </c>
      <c r="P175" t="s">
        <v>1849</v>
      </c>
      <c r="Q175" s="225" t="s">
        <v>104</v>
      </c>
      <c r="S175" s="395"/>
      <c r="T175" s="311" t="s">
        <v>2324</v>
      </c>
      <c r="U175" s="305" t="s">
        <v>2325</v>
      </c>
      <c r="V175" s="305" t="s">
        <v>2326</v>
      </c>
      <c r="W175" s="308" t="s">
        <v>2327</v>
      </c>
      <c r="X175" s="310" t="s">
        <v>2328</v>
      </c>
    </row>
    <row r="176" spans="10:24" ht="13.7" thickBot="1">
      <c r="J176" s="230" t="s">
        <v>1097</v>
      </c>
      <c r="L176" s="141" t="s">
        <v>650</v>
      </c>
      <c r="M176" t="s">
        <v>1921</v>
      </c>
      <c r="N176" t="s">
        <v>1548</v>
      </c>
      <c r="P176" t="s">
        <v>1849</v>
      </c>
      <c r="Q176" s="225" t="s">
        <v>104</v>
      </c>
      <c r="S176" s="395"/>
      <c r="T176" s="311" t="s">
        <v>2329</v>
      </c>
      <c r="U176" s="305" t="s">
        <v>2330</v>
      </c>
      <c r="V176" s="305" t="s">
        <v>2331</v>
      </c>
      <c r="W176" s="308" t="s">
        <v>2332</v>
      </c>
      <c r="X176" s="310" t="s">
        <v>2333</v>
      </c>
    </row>
    <row r="177" spans="10:24" ht="13.7" thickTop="1">
      <c r="J177" s="229" t="s">
        <v>1098</v>
      </c>
      <c r="L177" s="141" t="s">
        <v>651</v>
      </c>
      <c r="M177" t="s">
        <v>1921</v>
      </c>
      <c r="N177" t="s">
        <v>1547</v>
      </c>
      <c r="P177" t="s">
        <v>1849</v>
      </c>
      <c r="Q177" s="225" t="s">
        <v>104</v>
      </c>
      <c r="S177" s="395"/>
      <c r="T177" s="311" t="s">
        <v>2334</v>
      </c>
      <c r="U177" s="305" t="s">
        <v>2330</v>
      </c>
      <c r="V177" s="305" t="s">
        <v>2331</v>
      </c>
      <c r="W177" s="308" t="s">
        <v>2332</v>
      </c>
      <c r="X177" s="310" t="s">
        <v>2333</v>
      </c>
    </row>
    <row r="178" spans="10:24" ht="13.7" thickBot="1">
      <c r="J178" s="230" t="s">
        <v>1099</v>
      </c>
      <c r="L178" s="141" t="s">
        <v>652</v>
      </c>
      <c r="M178" t="s">
        <v>1921</v>
      </c>
      <c r="N178" t="s">
        <v>552</v>
      </c>
      <c r="P178" t="s">
        <v>94</v>
      </c>
      <c r="Q178" s="225" t="s">
        <v>104</v>
      </c>
      <c r="S178" s="395"/>
      <c r="T178" s="311" t="s">
        <v>2335</v>
      </c>
      <c r="U178" s="305" t="s">
        <v>2336</v>
      </c>
      <c r="V178" s="305" t="s">
        <v>2331</v>
      </c>
      <c r="W178" s="308" t="s">
        <v>2332</v>
      </c>
      <c r="X178" s="310" t="s">
        <v>2333</v>
      </c>
    </row>
    <row r="179" spans="10:24" ht="13.7" thickTop="1">
      <c r="J179" s="229" t="s">
        <v>1100</v>
      </c>
      <c r="L179" s="141" t="s">
        <v>653</v>
      </c>
      <c r="M179" t="s">
        <v>1921</v>
      </c>
      <c r="N179" t="s">
        <v>561</v>
      </c>
      <c r="P179" t="s">
        <v>1850</v>
      </c>
      <c r="Q179" s="225" t="s">
        <v>104</v>
      </c>
      <c r="S179" s="395"/>
      <c r="T179" s="311" t="s">
        <v>2337</v>
      </c>
      <c r="U179" s="305" t="s">
        <v>2336</v>
      </c>
      <c r="V179" s="305" t="s">
        <v>2331</v>
      </c>
      <c r="W179" s="308" t="s">
        <v>2332</v>
      </c>
      <c r="X179" s="310" t="s">
        <v>2333</v>
      </c>
    </row>
    <row r="180" spans="10:24" ht="13.7" thickBot="1">
      <c r="J180" s="230" t="s">
        <v>1101</v>
      </c>
      <c r="L180" s="141" t="s">
        <v>654</v>
      </c>
      <c r="M180" t="s">
        <v>1921</v>
      </c>
      <c r="N180" t="s">
        <v>1698</v>
      </c>
      <c r="P180" t="s">
        <v>94</v>
      </c>
      <c r="Q180" s="225" t="s">
        <v>104</v>
      </c>
      <c r="S180" s="395"/>
      <c r="T180" s="311" t="s">
        <v>2338</v>
      </c>
      <c r="U180" s="305" t="s">
        <v>2339</v>
      </c>
      <c r="V180" s="305" t="s">
        <v>2331</v>
      </c>
      <c r="W180" s="308" t="s">
        <v>2332</v>
      </c>
      <c r="X180" s="310" t="s">
        <v>2333</v>
      </c>
    </row>
    <row r="181" spans="10:24" ht="13.7" thickTop="1">
      <c r="J181" s="229" t="s">
        <v>1102</v>
      </c>
      <c r="L181" s="141" t="s">
        <v>655</v>
      </c>
      <c r="M181" t="s">
        <v>1933</v>
      </c>
      <c r="N181" t="s">
        <v>551</v>
      </c>
      <c r="P181" t="s">
        <v>94</v>
      </c>
      <c r="Q181" s="225" t="s">
        <v>104</v>
      </c>
      <c r="S181" s="395"/>
      <c r="T181" s="311" t="s">
        <v>2340</v>
      </c>
      <c r="U181" s="305" t="s">
        <v>2339</v>
      </c>
      <c r="V181" s="305" t="s">
        <v>2331</v>
      </c>
      <c r="W181" s="308" t="s">
        <v>2332</v>
      </c>
      <c r="X181" s="310" t="s">
        <v>2333</v>
      </c>
    </row>
    <row r="182" spans="10:24" ht="13.7" thickBot="1">
      <c r="J182" s="230" t="s">
        <v>1103</v>
      </c>
      <c r="L182" s="141" t="s">
        <v>656</v>
      </c>
      <c r="M182" t="s">
        <v>1933</v>
      </c>
      <c r="N182" t="s">
        <v>1851</v>
      </c>
      <c r="P182" t="s">
        <v>1848</v>
      </c>
      <c r="Q182" s="225" t="s">
        <v>104</v>
      </c>
      <c r="S182" s="395"/>
      <c r="T182" s="311" t="s">
        <v>2341</v>
      </c>
      <c r="U182" s="305" t="s">
        <v>2342</v>
      </c>
      <c r="V182" s="305" t="s">
        <v>2326</v>
      </c>
      <c r="W182" s="308" t="s">
        <v>2327</v>
      </c>
      <c r="X182" s="310" t="s">
        <v>2328</v>
      </c>
    </row>
    <row r="183" spans="10:24" ht="13.7" thickTop="1">
      <c r="J183" s="229" t="s">
        <v>1104</v>
      </c>
      <c r="L183" s="141" t="s">
        <v>657</v>
      </c>
      <c r="M183" t="s">
        <v>1933</v>
      </c>
      <c r="N183" t="s">
        <v>1852</v>
      </c>
      <c r="P183" t="s">
        <v>1848</v>
      </c>
      <c r="Q183" s="225" t="s">
        <v>104</v>
      </c>
      <c r="S183" s="395"/>
      <c r="T183" s="311" t="s">
        <v>2343</v>
      </c>
      <c r="U183" s="305" t="s">
        <v>2344</v>
      </c>
      <c r="V183" s="305" t="s">
        <v>2326</v>
      </c>
      <c r="W183" s="308" t="s">
        <v>2327</v>
      </c>
      <c r="X183" s="310" t="s">
        <v>2328</v>
      </c>
    </row>
    <row r="184" spans="10:24" ht="13.7" thickBot="1">
      <c r="J184" s="230" t="s">
        <v>1105</v>
      </c>
      <c r="L184" s="141" t="s">
        <v>658</v>
      </c>
      <c r="M184" t="s">
        <v>1933</v>
      </c>
      <c r="N184" t="s">
        <v>1853</v>
      </c>
      <c r="P184" t="s">
        <v>94</v>
      </c>
      <c r="Q184" s="225" t="s">
        <v>104</v>
      </c>
      <c r="S184" s="395"/>
      <c r="T184" s="311" t="s">
        <v>2345</v>
      </c>
      <c r="U184" s="305" t="s">
        <v>2346</v>
      </c>
      <c r="V184" s="305" t="s">
        <v>2326</v>
      </c>
      <c r="W184" s="308" t="s">
        <v>2327</v>
      </c>
      <c r="X184" s="310" t="s">
        <v>2328</v>
      </c>
    </row>
    <row r="185" spans="10:24" ht="13.7" thickTop="1">
      <c r="J185" s="229" t="s">
        <v>1106</v>
      </c>
      <c r="L185" s="141" t="s">
        <v>659</v>
      </c>
      <c r="M185" t="s">
        <v>1933</v>
      </c>
      <c r="N185" t="s">
        <v>562</v>
      </c>
      <c r="P185" t="s">
        <v>1854</v>
      </c>
      <c r="Q185" s="225" t="s">
        <v>887</v>
      </c>
      <c r="S185" s="395"/>
      <c r="T185" s="311" t="s">
        <v>2347</v>
      </c>
      <c r="U185" s="305" t="s">
        <v>2325</v>
      </c>
      <c r="V185" s="305" t="s">
        <v>2326</v>
      </c>
      <c r="W185" s="308" t="s">
        <v>2327</v>
      </c>
      <c r="X185" s="310" t="s">
        <v>2348</v>
      </c>
    </row>
    <row r="186" spans="10:24" ht="13.7" thickBot="1">
      <c r="J186" s="230" t="s">
        <v>1107</v>
      </c>
      <c r="L186" s="141" t="s">
        <v>660</v>
      </c>
      <c r="M186" t="s">
        <v>1933</v>
      </c>
      <c r="N186" t="s">
        <v>563</v>
      </c>
      <c r="P186" t="s">
        <v>1854</v>
      </c>
      <c r="Q186" s="225" t="s">
        <v>887</v>
      </c>
      <c r="S186" s="395"/>
      <c r="T186" s="311" t="s">
        <v>2349</v>
      </c>
      <c r="U186" s="305" t="s">
        <v>2350</v>
      </c>
      <c r="V186" s="305" t="s">
        <v>2326</v>
      </c>
      <c r="W186" s="308" t="s">
        <v>2327</v>
      </c>
      <c r="X186" s="310" t="s">
        <v>2351</v>
      </c>
    </row>
    <row r="187" spans="10:24" ht="13.7" thickTop="1">
      <c r="J187" s="229" t="s">
        <v>1108</v>
      </c>
      <c r="L187" s="141" t="s">
        <v>661</v>
      </c>
      <c r="M187" t="s">
        <v>1933</v>
      </c>
      <c r="N187" t="s">
        <v>627</v>
      </c>
      <c r="P187" t="s">
        <v>1854</v>
      </c>
      <c r="Q187" s="225" t="s">
        <v>887</v>
      </c>
      <c r="S187" s="395"/>
      <c r="T187" s="314" t="s">
        <v>2352</v>
      </c>
      <c r="U187" s="305" t="s">
        <v>2346</v>
      </c>
      <c r="V187" s="305" t="s">
        <v>2326</v>
      </c>
      <c r="W187" s="308" t="s">
        <v>2327</v>
      </c>
      <c r="X187" s="310" t="s">
        <v>2351</v>
      </c>
    </row>
    <row r="188" spans="10:24" ht="13">
      <c r="J188" s="232" t="s">
        <v>1109</v>
      </c>
      <c r="L188" s="141" t="s">
        <v>662</v>
      </c>
      <c r="M188" t="s">
        <v>1933</v>
      </c>
      <c r="N188" t="s">
        <v>553</v>
      </c>
      <c r="P188" t="s">
        <v>1855</v>
      </c>
      <c r="Q188" s="225" t="s">
        <v>896</v>
      </c>
      <c r="S188" s="395"/>
      <c r="T188" s="311" t="s">
        <v>2353</v>
      </c>
      <c r="U188" s="305" t="s">
        <v>2350</v>
      </c>
      <c r="V188" s="305" t="s">
        <v>2326</v>
      </c>
      <c r="W188" s="308" t="s">
        <v>2327</v>
      </c>
      <c r="X188" s="310" t="s">
        <v>2351</v>
      </c>
    </row>
    <row r="189" spans="10:24" ht="13.7" thickBot="1">
      <c r="J189" s="231" t="s">
        <v>1110</v>
      </c>
      <c r="L189" s="141" t="s">
        <v>663</v>
      </c>
      <c r="M189" t="s">
        <v>1933</v>
      </c>
      <c r="N189" t="s">
        <v>549</v>
      </c>
      <c r="P189" t="s">
        <v>1855</v>
      </c>
      <c r="Q189" s="225" t="s">
        <v>896</v>
      </c>
      <c r="S189" s="395"/>
      <c r="T189" s="311" t="s">
        <v>2135</v>
      </c>
      <c r="U189" s="305" t="s">
        <v>2325</v>
      </c>
      <c r="V189" s="305" t="s">
        <v>2326</v>
      </c>
      <c r="W189" s="308" t="s">
        <v>2327</v>
      </c>
      <c r="X189" s="310" t="s">
        <v>2351</v>
      </c>
    </row>
    <row r="190" spans="10:24" ht="13.7" thickTop="1">
      <c r="J190" s="229" t="s">
        <v>1111</v>
      </c>
      <c r="L190" s="141" t="s">
        <v>664</v>
      </c>
      <c r="M190" t="s">
        <v>1933</v>
      </c>
      <c r="N190" t="s">
        <v>1856</v>
      </c>
      <c r="P190" t="s">
        <v>1699</v>
      </c>
      <c r="Q190" s="225" t="s">
        <v>896</v>
      </c>
      <c r="S190" s="395"/>
      <c r="T190" s="311" t="s">
        <v>2354</v>
      </c>
      <c r="U190" s="305" t="s">
        <v>2355</v>
      </c>
      <c r="V190" s="305" t="s">
        <v>2326</v>
      </c>
      <c r="W190" s="308" t="s">
        <v>2327</v>
      </c>
      <c r="X190" s="310" t="s">
        <v>2351</v>
      </c>
    </row>
    <row r="191" spans="10:24" ht="13.7" thickBot="1">
      <c r="J191" s="230" t="s">
        <v>2358</v>
      </c>
      <c r="L191" s="141" t="s">
        <v>665</v>
      </c>
      <c r="M191" t="s">
        <v>1933</v>
      </c>
      <c r="N191" t="s">
        <v>545</v>
      </c>
      <c r="P191" t="s">
        <v>1701</v>
      </c>
      <c r="Q191" s="225" t="s">
        <v>896</v>
      </c>
      <c r="S191" s="395"/>
      <c r="T191" s="311" t="s">
        <v>2356</v>
      </c>
      <c r="U191" s="305" t="s">
        <v>2325</v>
      </c>
      <c r="V191" s="305" t="s">
        <v>2326</v>
      </c>
      <c r="W191" s="308" t="s">
        <v>2327</v>
      </c>
      <c r="X191" s="310" t="s">
        <v>2351</v>
      </c>
    </row>
    <row r="192" spans="10:24" ht="13.7" thickTop="1">
      <c r="J192" s="229" t="s">
        <v>1112</v>
      </c>
      <c r="L192" s="141" t="s">
        <v>666</v>
      </c>
      <c r="M192" t="s">
        <v>1933</v>
      </c>
      <c r="N192" t="s">
        <v>547</v>
      </c>
      <c r="P192" t="s">
        <v>1701</v>
      </c>
      <c r="Q192" s="225" t="s">
        <v>896</v>
      </c>
      <c r="S192" s="395"/>
      <c r="T192" s="311" t="s">
        <v>2357</v>
      </c>
      <c r="U192" s="305" t="s">
        <v>2325</v>
      </c>
      <c r="V192" s="305" t="s">
        <v>2326</v>
      </c>
      <c r="W192" s="308" t="s">
        <v>2327</v>
      </c>
      <c r="X192" s="310" t="s">
        <v>2351</v>
      </c>
    </row>
    <row r="193" spans="10:24" ht="13.7" thickBot="1">
      <c r="J193" s="230" t="s">
        <v>1113</v>
      </c>
      <c r="L193" s="141" t="s">
        <v>667</v>
      </c>
      <c r="M193" t="s">
        <v>1933</v>
      </c>
      <c r="N193" t="s">
        <v>546</v>
      </c>
      <c r="P193" t="s">
        <v>1701</v>
      </c>
      <c r="Q193" s="225" t="s">
        <v>896</v>
      </c>
      <c r="S193" s="396"/>
      <c r="T193" s="311" t="s">
        <v>2359</v>
      </c>
      <c r="U193" s="305" t="s">
        <v>2325</v>
      </c>
      <c r="V193" s="305" t="s">
        <v>2326</v>
      </c>
      <c r="W193" s="308" t="s">
        <v>2327</v>
      </c>
      <c r="X193" s="310" t="s">
        <v>2351</v>
      </c>
    </row>
    <row r="194" spans="10:24" ht="13.7" thickTop="1">
      <c r="J194" s="229" t="s">
        <v>2362</v>
      </c>
      <c r="L194" s="141" t="s">
        <v>668</v>
      </c>
      <c r="M194" t="s">
        <v>1933</v>
      </c>
      <c r="N194" t="s">
        <v>554</v>
      </c>
      <c r="P194" t="s">
        <v>1855</v>
      </c>
      <c r="Q194" s="225" t="s">
        <v>896</v>
      </c>
      <c r="S194" s="394" t="s">
        <v>2363</v>
      </c>
      <c r="T194" s="311" t="s">
        <v>2360</v>
      </c>
      <c r="U194" s="305" t="s">
        <v>2325</v>
      </c>
      <c r="V194" s="305" t="s">
        <v>2326</v>
      </c>
      <c r="W194" s="308" t="s">
        <v>2327</v>
      </c>
      <c r="X194" s="310" t="s">
        <v>2351</v>
      </c>
    </row>
    <row r="195" spans="10:24" ht="13.7" thickBot="1">
      <c r="J195" s="230" t="s">
        <v>1114</v>
      </c>
      <c r="L195" s="141" t="s">
        <v>669</v>
      </c>
      <c r="M195" t="s">
        <v>1933</v>
      </c>
      <c r="N195" t="s">
        <v>2365</v>
      </c>
      <c r="P195" t="s">
        <v>1701</v>
      </c>
      <c r="Q195" s="225" t="s">
        <v>896</v>
      </c>
      <c r="S195" s="395"/>
      <c r="T195" s="311" t="s">
        <v>2361</v>
      </c>
      <c r="U195" s="305" t="s">
        <v>2355</v>
      </c>
      <c r="V195" s="305" t="s">
        <v>2326</v>
      </c>
      <c r="W195" s="308" t="s">
        <v>2327</v>
      </c>
      <c r="X195" s="310" t="s">
        <v>2351</v>
      </c>
    </row>
    <row r="196" spans="10:24" ht="13.7" thickTop="1">
      <c r="J196" s="229" t="s">
        <v>1115</v>
      </c>
      <c r="L196" s="141" t="s">
        <v>670</v>
      </c>
      <c r="M196" t="s">
        <v>1933</v>
      </c>
      <c r="N196" t="s">
        <v>1857</v>
      </c>
      <c r="P196" t="s">
        <v>1701</v>
      </c>
      <c r="Q196" s="225" t="s">
        <v>896</v>
      </c>
      <c r="S196" s="395"/>
      <c r="T196" s="311" t="s">
        <v>2364</v>
      </c>
      <c r="U196" s="305" t="s">
        <v>2355</v>
      </c>
      <c r="V196" s="305" t="s">
        <v>2326</v>
      </c>
      <c r="W196" s="308" t="s">
        <v>2327</v>
      </c>
      <c r="X196" s="310" t="s">
        <v>2351</v>
      </c>
    </row>
    <row r="197" spans="10:24" ht="13">
      <c r="J197" s="232" t="s">
        <v>1116</v>
      </c>
      <c r="L197" s="141" t="s">
        <v>671</v>
      </c>
      <c r="M197" t="s">
        <v>2062</v>
      </c>
      <c r="N197" t="s">
        <v>1858</v>
      </c>
      <c r="P197" t="s">
        <v>1701</v>
      </c>
      <c r="Q197" s="225" t="s">
        <v>896</v>
      </c>
      <c r="S197" s="396"/>
      <c r="T197" s="311" t="s">
        <v>2366</v>
      </c>
      <c r="U197" s="305" t="s">
        <v>2367</v>
      </c>
      <c r="V197" s="305" t="s">
        <v>2368</v>
      </c>
      <c r="W197" s="308" t="s">
        <v>917</v>
      </c>
      <c r="X197" s="310"/>
    </row>
    <row r="198" spans="10:24" ht="13.7" thickBot="1">
      <c r="J198" s="231" t="s">
        <v>1117</v>
      </c>
      <c r="L198" s="141" t="s">
        <v>672</v>
      </c>
      <c r="M198" t="s">
        <v>2062</v>
      </c>
      <c r="N198" t="s">
        <v>1703</v>
      </c>
      <c r="P198" t="s">
        <v>1701</v>
      </c>
      <c r="Q198" s="225" t="s">
        <v>900</v>
      </c>
      <c r="S198" s="394" t="s">
        <v>2374</v>
      </c>
      <c r="T198" s="311" t="s">
        <v>2369</v>
      </c>
      <c r="U198" s="305" t="s">
        <v>2370</v>
      </c>
      <c r="V198" s="305" t="s">
        <v>2371</v>
      </c>
      <c r="W198" s="308" t="s">
        <v>917</v>
      </c>
      <c r="X198" s="310"/>
    </row>
    <row r="199" spans="10:24" ht="13.7" thickTop="1">
      <c r="J199" s="229" t="s">
        <v>1118</v>
      </c>
      <c r="L199" s="141" t="s">
        <v>673</v>
      </c>
      <c r="M199" t="s">
        <v>2062</v>
      </c>
      <c r="N199" t="s">
        <v>567</v>
      </c>
      <c r="P199" t="s">
        <v>1701</v>
      </c>
      <c r="Q199" s="225" t="s">
        <v>900</v>
      </c>
      <c r="S199" s="396"/>
      <c r="T199" s="311" t="s">
        <v>2372</v>
      </c>
      <c r="U199" s="305" t="s">
        <v>2373</v>
      </c>
      <c r="V199" s="305" t="s">
        <v>2371</v>
      </c>
      <c r="W199" s="308" t="s">
        <v>917</v>
      </c>
      <c r="X199" s="310"/>
    </row>
    <row r="200" spans="10:24" ht="13.7" thickBot="1">
      <c r="J200" s="230" t="s">
        <v>1119</v>
      </c>
      <c r="L200" s="141" t="s">
        <v>674</v>
      </c>
      <c r="M200" t="s">
        <v>1933</v>
      </c>
      <c r="N200" t="s">
        <v>566</v>
      </c>
      <c r="P200" t="s">
        <v>1701</v>
      </c>
      <c r="Q200" s="225" t="s">
        <v>900</v>
      </c>
      <c r="S200" s="399" t="s">
        <v>2379</v>
      </c>
      <c r="T200" s="311" t="s">
        <v>2375</v>
      </c>
      <c r="U200" s="305" t="s">
        <v>2370</v>
      </c>
      <c r="V200" s="305" t="s">
        <v>2371</v>
      </c>
      <c r="W200" s="308" t="s">
        <v>917</v>
      </c>
      <c r="X200" s="310"/>
    </row>
    <row r="201" spans="10:24" ht="13.7" thickTop="1">
      <c r="J201" s="229" t="s">
        <v>1120</v>
      </c>
      <c r="L201" s="141" t="s">
        <v>675</v>
      </c>
      <c r="M201" t="s">
        <v>1921</v>
      </c>
      <c r="N201" t="s">
        <v>539</v>
      </c>
      <c r="P201" t="s">
        <v>95</v>
      </c>
      <c r="Q201" s="225" t="s">
        <v>902</v>
      </c>
      <c r="S201" s="400"/>
      <c r="T201" s="311" t="s">
        <v>2376</v>
      </c>
      <c r="U201" s="305" t="s">
        <v>2109</v>
      </c>
      <c r="V201" s="305" t="s">
        <v>2377</v>
      </c>
      <c r="W201" s="308" t="s">
        <v>2378</v>
      </c>
      <c r="X201" s="310"/>
    </row>
    <row r="202" spans="10:24" ht="13.7" thickBot="1">
      <c r="J202" s="230" t="s">
        <v>1121</v>
      </c>
      <c r="L202" s="141" t="s">
        <v>676</v>
      </c>
      <c r="M202" t="s">
        <v>1933</v>
      </c>
      <c r="N202" t="s">
        <v>1482</v>
      </c>
      <c r="P202" t="s">
        <v>95</v>
      </c>
      <c r="Q202" s="225" t="s">
        <v>902</v>
      </c>
      <c r="S202" s="400"/>
      <c r="T202" s="311" t="s">
        <v>2380</v>
      </c>
      <c r="U202" s="305" t="s">
        <v>2381</v>
      </c>
      <c r="V202" s="305" t="s">
        <v>2382</v>
      </c>
      <c r="W202" s="308" t="s">
        <v>2383</v>
      </c>
      <c r="X202" s="310"/>
    </row>
    <row r="203" spans="10:24" ht="13.7" thickTop="1">
      <c r="J203" s="229" t="s">
        <v>1122</v>
      </c>
      <c r="L203" s="141" t="s">
        <v>677</v>
      </c>
      <c r="M203" t="s">
        <v>1933</v>
      </c>
      <c r="N203" t="s">
        <v>2389</v>
      </c>
      <c r="P203" t="s">
        <v>1859</v>
      </c>
      <c r="Q203" s="225" t="s">
        <v>902</v>
      </c>
      <c r="S203" s="400"/>
      <c r="T203" s="311" t="s">
        <v>2638</v>
      </c>
      <c r="U203" s="305" t="s">
        <v>1785</v>
      </c>
      <c r="V203" s="305" t="s">
        <v>2384</v>
      </c>
      <c r="W203" s="308" t="s">
        <v>2385</v>
      </c>
      <c r="X203" s="310" t="s">
        <v>2386</v>
      </c>
    </row>
    <row r="204" spans="10:24" ht="13.7" thickBot="1">
      <c r="J204" s="230" t="s">
        <v>1123</v>
      </c>
      <c r="L204" s="141" t="s">
        <v>678</v>
      </c>
      <c r="M204" t="s">
        <v>1933</v>
      </c>
      <c r="N204" t="s">
        <v>542</v>
      </c>
      <c r="P204" t="s">
        <v>95</v>
      </c>
      <c r="Q204" s="225" t="s">
        <v>902</v>
      </c>
      <c r="S204" s="401"/>
      <c r="T204" s="311" t="s">
        <v>2387</v>
      </c>
      <c r="U204" s="305" t="s">
        <v>2050</v>
      </c>
      <c r="V204" s="305" t="s">
        <v>2051</v>
      </c>
      <c r="W204" s="308" t="s">
        <v>2388</v>
      </c>
      <c r="X204" s="310"/>
    </row>
    <row r="205" spans="10:24" ht="13.7" thickTop="1">
      <c r="J205" s="229" t="s">
        <v>1124</v>
      </c>
      <c r="L205" s="141" t="s">
        <v>679</v>
      </c>
      <c r="M205" t="s">
        <v>1933</v>
      </c>
      <c r="N205" t="s">
        <v>1860</v>
      </c>
      <c r="P205" t="s">
        <v>1859</v>
      </c>
      <c r="Q205" s="225" t="s">
        <v>902</v>
      </c>
      <c r="T205" s="311" t="s">
        <v>2390</v>
      </c>
      <c r="U205" s="305" t="s">
        <v>2050</v>
      </c>
      <c r="V205" s="305" t="s">
        <v>2391</v>
      </c>
      <c r="W205" s="308" t="s">
        <v>2392</v>
      </c>
      <c r="X205" s="310" t="s">
        <v>2393</v>
      </c>
    </row>
    <row r="206" spans="10:24" ht="13.7" thickBot="1">
      <c r="J206" s="230" t="s">
        <v>2401</v>
      </c>
      <c r="L206" s="141" t="s">
        <v>680</v>
      </c>
      <c r="M206" t="s">
        <v>1933</v>
      </c>
      <c r="N206" t="s">
        <v>1861</v>
      </c>
      <c r="P206" t="s">
        <v>1862</v>
      </c>
      <c r="Q206" s="225" t="s">
        <v>904</v>
      </c>
      <c r="T206" s="311" t="s">
        <v>2390</v>
      </c>
      <c r="U206" s="305" t="s">
        <v>2050</v>
      </c>
      <c r="V206" s="305" t="s">
        <v>2394</v>
      </c>
      <c r="W206" s="308" t="s">
        <v>2395</v>
      </c>
      <c r="X206" s="310" t="s">
        <v>2396</v>
      </c>
    </row>
    <row r="207" spans="10:24" ht="13.7" thickTop="1">
      <c r="J207" s="229" t="s">
        <v>1125</v>
      </c>
      <c r="L207" s="141" t="s">
        <v>681</v>
      </c>
      <c r="M207" t="s">
        <v>1933</v>
      </c>
      <c r="N207" t="s">
        <v>1863</v>
      </c>
      <c r="P207" t="s">
        <v>1862</v>
      </c>
      <c r="Q207" s="225" t="s">
        <v>904</v>
      </c>
      <c r="T207" s="311" t="s">
        <v>2397</v>
      </c>
      <c r="U207" s="305" t="s">
        <v>2050</v>
      </c>
      <c r="V207" s="305" t="s">
        <v>2398</v>
      </c>
      <c r="W207" s="308" t="s">
        <v>2399</v>
      </c>
      <c r="X207" s="310" t="s">
        <v>2400</v>
      </c>
    </row>
    <row r="208" spans="10:24" ht="13" thickBot="1">
      <c r="J208" s="230" t="s">
        <v>1126</v>
      </c>
      <c r="L208" s="213" t="s">
        <v>682</v>
      </c>
      <c r="M208" t="s">
        <v>1933</v>
      </c>
      <c r="N208" t="s">
        <v>1864</v>
      </c>
      <c r="P208" t="s">
        <v>1865</v>
      </c>
      <c r="Q208" s="225" t="s">
        <v>904</v>
      </c>
    </row>
    <row r="209" spans="10:17" ht="13" thickTop="1">
      <c r="J209" s="229" t="s">
        <v>1127</v>
      </c>
      <c r="L209" s="213" t="s">
        <v>683</v>
      </c>
      <c r="M209" t="s">
        <v>1933</v>
      </c>
      <c r="N209" t="s">
        <v>1866</v>
      </c>
      <c r="P209" t="s">
        <v>1865</v>
      </c>
      <c r="Q209" s="225" t="s">
        <v>904</v>
      </c>
    </row>
    <row r="210" spans="10:17" ht="13" thickBot="1">
      <c r="J210" s="230" t="s">
        <v>1128</v>
      </c>
      <c r="L210" s="213" t="s">
        <v>684</v>
      </c>
      <c r="M210" t="s">
        <v>1933</v>
      </c>
      <c r="N210" t="s">
        <v>581</v>
      </c>
      <c r="P210" t="s">
        <v>1867</v>
      </c>
      <c r="Q210" s="225" t="s">
        <v>912</v>
      </c>
    </row>
    <row r="211" spans="10:17" ht="13" thickTop="1">
      <c r="J211" s="229" t="s">
        <v>1129</v>
      </c>
      <c r="L211" s="213" t="s">
        <v>685</v>
      </c>
      <c r="M211" t="s">
        <v>1933</v>
      </c>
      <c r="N211" t="s">
        <v>579</v>
      </c>
      <c r="P211" t="s">
        <v>1868</v>
      </c>
      <c r="Q211" s="225" t="s">
        <v>912</v>
      </c>
    </row>
    <row r="212" spans="10:17" ht="13" thickBot="1">
      <c r="J212" s="232" t="s">
        <v>1130</v>
      </c>
      <c r="L212" s="214" t="s">
        <v>686</v>
      </c>
      <c r="M212" t="s">
        <v>1933</v>
      </c>
      <c r="N212" t="s">
        <v>582</v>
      </c>
      <c r="P212" t="s">
        <v>1868</v>
      </c>
      <c r="Q212" s="225" t="s">
        <v>912</v>
      </c>
    </row>
    <row r="213" spans="10:17" ht="13.7" thickBot="1">
      <c r="J213" s="231" t="s">
        <v>1131</v>
      </c>
      <c r="L213" s="195" t="s">
        <v>687</v>
      </c>
      <c r="M213" t="s">
        <v>1933</v>
      </c>
      <c r="N213" t="s">
        <v>1869</v>
      </c>
      <c r="P213" t="s">
        <v>1870</v>
      </c>
      <c r="Q213" s="225" t="s">
        <v>912</v>
      </c>
    </row>
    <row r="214" spans="10:17" ht="13.7" thickTop="1">
      <c r="J214" s="229" t="s">
        <v>2402</v>
      </c>
      <c r="L214" s="130" t="s">
        <v>688</v>
      </c>
      <c r="M214" t="s">
        <v>1933</v>
      </c>
      <c r="N214" t="s">
        <v>584</v>
      </c>
      <c r="P214" t="s">
        <v>1870</v>
      </c>
      <c r="Q214" s="225" t="s">
        <v>912</v>
      </c>
    </row>
    <row r="215" spans="10:17" ht="13.7" thickBot="1">
      <c r="J215" s="230" t="s">
        <v>1132</v>
      </c>
      <c r="L215" s="130" t="s">
        <v>689</v>
      </c>
      <c r="M215" t="s">
        <v>1933</v>
      </c>
      <c r="N215" t="s">
        <v>580</v>
      </c>
      <c r="P215" t="s">
        <v>1867</v>
      </c>
      <c r="Q215" s="225" t="s">
        <v>912</v>
      </c>
    </row>
    <row r="216" spans="10:17" ht="13.7" thickTop="1">
      <c r="J216" s="229" t="s">
        <v>1133</v>
      </c>
      <c r="L216" s="130" t="s">
        <v>690</v>
      </c>
      <c r="M216" t="s">
        <v>1933</v>
      </c>
      <c r="N216" t="s">
        <v>578</v>
      </c>
      <c r="P216" t="s">
        <v>1867</v>
      </c>
      <c r="Q216" s="225" t="s">
        <v>912</v>
      </c>
    </row>
    <row r="217" spans="10:17" ht="13.7" thickBot="1">
      <c r="J217" s="230" t="s">
        <v>1134</v>
      </c>
      <c r="L217" s="130" t="s">
        <v>691</v>
      </c>
      <c r="M217" t="s">
        <v>1933</v>
      </c>
      <c r="N217" t="s">
        <v>1871</v>
      </c>
      <c r="P217" t="s">
        <v>1704</v>
      </c>
      <c r="Q217" s="225" t="s">
        <v>912</v>
      </c>
    </row>
    <row r="218" spans="10:17" ht="13.7" thickTop="1">
      <c r="J218" s="229" t="s">
        <v>1135</v>
      </c>
      <c r="L218" s="130" t="s">
        <v>692</v>
      </c>
      <c r="M218" t="s">
        <v>1933</v>
      </c>
      <c r="N218" t="s">
        <v>1872</v>
      </c>
      <c r="P218" t="s">
        <v>1705</v>
      </c>
      <c r="Q218" s="225" t="s">
        <v>912</v>
      </c>
    </row>
    <row r="219" spans="10:17" ht="13.7" thickBot="1">
      <c r="J219" s="230" t="s">
        <v>1136</v>
      </c>
      <c r="L219" s="130" t="s">
        <v>693</v>
      </c>
      <c r="M219" t="s">
        <v>1933</v>
      </c>
      <c r="N219" t="s">
        <v>1313</v>
      </c>
      <c r="P219" t="s">
        <v>1873</v>
      </c>
      <c r="Q219" s="225" t="s">
        <v>912</v>
      </c>
    </row>
    <row r="220" spans="10:17" ht="13" thickTop="1">
      <c r="J220" s="229" t="s">
        <v>1137</v>
      </c>
      <c r="L220" s="218" t="s">
        <v>694</v>
      </c>
      <c r="M220" t="s">
        <v>1933</v>
      </c>
      <c r="N220" t="s">
        <v>1874</v>
      </c>
      <c r="P220" t="s">
        <v>1867</v>
      </c>
      <c r="Q220" s="225" t="s">
        <v>912</v>
      </c>
    </row>
    <row r="221" spans="10:17" ht="13" thickBot="1">
      <c r="J221" s="230" t="s">
        <v>1138</v>
      </c>
      <c r="L221" s="218" t="s">
        <v>2403</v>
      </c>
      <c r="M221" t="s">
        <v>1933</v>
      </c>
      <c r="N221" t="s">
        <v>579</v>
      </c>
      <c r="P221" t="s">
        <v>1868</v>
      </c>
      <c r="Q221" s="225" t="s">
        <v>912</v>
      </c>
    </row>
    <row r="222" spans="10:17" ht="13" thickTop="1">
      <c r="J222" s="229" t="s">
        <v>1139</v>
      </c>
      <c r="L222" s="218" t="s">
        <v>695</v>
      </c>
      <c r="M222" t="s">
        <v>1933</v>
      </c>
      <c r="N222" t="s">
        <v>1875</v>
      </c>
      <c r="P222" t="s">
        <v>1873</v>
      </c>
      <c r="Q222" s="225" t="s">
        <v>912</v>
      </c>
    </row>
    <row r="223" spans="10:17" ht="13" thickBot="1">
      <c r="J223" s="230" t="s">
        <v>1140</v>
      </c>
      <c r="L223" s="219" t="s">
        <v>696</v>
      </c>
      <c r="M223" t="s">
        <v>1933</v>
      </c>
      <c r="N223" t="s">
        <v>1876</v>
      </c>
      <c r="P223" t="s">
        <v>1868</v>
      </c>
      <c r="Q223" s="225" t="s">
        <v>912</v>
      </c>
    </row>
    <row r="224" spans="10:17" ht="13" thickTop="1">
      <c r="J224" s="229" t="s">
        <v>1141</v>
      </c>
      <c r="L224" s="81" t="s">
        <v>2404</v>
      </c>
      <c r="M224" t="s">
        <v>1933</v>
      </c>
      <c r="N224" t="s">
        <v>578</v>
      </c>
      <c r="P224" t="s">
        <v>1867</v>
      </c>
      <c r="Q224" s="225" t="s">
        <v>912</v>
      </c>
    </row>
    <row r="225" spans="10:17">
      <c r="J225" s="232" t="s">
        <v>1142</v>
      </c>
      <c r="L225" s="81" t="s">
        <v>84</v>
      </c>
      <c r="M225" t="s">
        <v>1933</v>
      </c>
      <c r="N225" t="s">
        <v>1877</v>
      </c>
      <c r="P225" t="s">
        <v>1870</v>
      </c>
      <c r="Q225" s="225" t="s">
        <v>912</v>
      </c>
    </row>
    <row r="226" spans="10:17" ht="13" thickBot="1">
      <c r="J226" s="231" t="s">
        <v>1143</v>
      </c>
      <c r="L226" s="81" t="s">
        <v>2405</v>
      </c>
      <c r="M226" t="s">
        <v>1933</v>
      </c>
      <c r="N226" t="s">
        <v>580</v>
      </c>
      <c r="P226" t="s">
        <v>1867</v>
      </c>
      <c r="Q226" s="225" t="s">
        <v>912</v>
      </c>
    </row>
    <row r="227" spans="10:17" ht="13" thickTop="1">
      <c r="J227" s="229" t="s">
        <v>1144</v>
      </c>
      <c r="L227" s="82" t="s">
        <v>85</v>
      </c>
      <c r="M227" t="s">
        <v>1933</v>
      </c>
      <c r="N227" t="s">
        <v>1878</v>
      </c>
      <c r="P227" t="s">
        <v>1867</v>
      </c>
      <c r="Q227" s="225" t="s">
        <v>912</v>
      </c>
    </row>
    <row r="228" spans="10:17" ht="13" thickBot="1">
      <c r="J228" s="230" t="s">
        <v>1145</v>
      </c>
      <c r="L228" s="81" t="s">
        <v>1940</v>
      </c>
      <c r="M228" t="s">
        <v>1933</v>
      </c>
      <c r="N228" t="s">
        <v>1879</v>
      </c>
      <c r="P228" t="s">
        <v>1867</v>
      </c>
      <c r="Q228" s="225" t="s">
        <v>912</v>
      </c>
    </row>
    <row r="229" spans="10:17" ht="13" thickTop="1">
      <c r="J229" s="229" t="s">
        <v>1146</v>
      </c>
      <c r="L229" s="81" t="s">
        <v>2406</v>
      </c>
      <c r="M229" t="s">
        <v>1933</v>
      </c>
      <c r="N229" t="s">
        <v>1880</v>
      </c>
      <c r="P229" t="s">
        <v>1867</v>
      </c>
      <c r="Q229" s="225" t="s">
        <v>912</v>
      </c>
    </row>
    <row r="230" spans="10:17" ht="13" thickBot="1">
      <c r="J230" s="230" t="s">
        <v>1147</v>
      </c>
      <c r="L230" s="81" t="s">
        <v>2407</v>
      </c>
      <c r="M230" t="s">
        <v>1933</v>
      </c>
      <c r="N230" t="s">
        <v>583</v>
      </c>
      <c r="P230" t="s">
        <v>1870</v>
      </c>
      <c r="Q230" s="225" t="s">
        <v>912</v>
      </c>
    </row>
    <row r="231" spans="10:17" ht="13" thickTop="1">
      <c r="J231" s="229" t="s">
        <v>1148</v>
      </c>
      <c r="L231" s="83" t="s">
        <v>2408</v>
      </c>
      <c r="M231" t="s">
        <v>1933</v>
      </c>
      <c r="N231" t="s">
        <v>1318</v>
      </c>
      <c r="P231" t="s">
        <v>1870</v>
      </c>
      <c r="Q231" s="225" t="s">
        <v>912</v>
      </c>
    </row>
    <row r="232" spans="10:17" ht="13" thickBot="1">
      <c r="J232" s="230" t="s">
        <v>1149</v>
      </c>
      <c r="L232" s="83" t="s">
        <v>86</v>
      </c>
      <c r="M232" t="s">
        <v>1933</v>
      </c>
      <c r="N232" t="s">
        <v>571</v>
      </c>
      <c r="P232" t="s">
        <v>96</v>
      </c>
      <c r="Q232" s="225" t="s">
        <v>918</v>
      </c>
    </row>
    <row r="233" spans="10:17" ht="13" thickTop="1">
      <c r="J233" s="229" t="s">
        <v>1150</v>
      </c>
      <c r="L233" s="84" t="s">
        <v>87</v>
      </c>
      <c r="M233" t="s">
        <v>1933</v>
      </c>
      <c r="N233" t="s">
        <v>1255</v>
      </c>
      <c r="P233" t="s">
        <v>96</v>
      </c>
      <c r="Q233" s="225" t="s">
        <v>918</v>
      </c>
    </row>
    <row r="234" spans="10:17" ht="13" thickBot="1">
      <c r="J234" s="230" t="s">
        <v>1151</v>
      </c>
      <c r="L234" t="s">
        <v>2409</v>
      </c>
      <c r="M234" t="s">
        <v>1933</v>
      </c>
      <c r="N234" t="s">
        <v>576</v>
      </c>
      <c r="P234" t="s">
        <v>1881</v>
      </c>
      <c r="Q234" s="225" t="s">
        <v>918</v>
      </c>
    </row>
    <row r="235" spans="10:17" ht="13" thickTop="1">
      <c r="J235" s="229" t="s">
        <v>1152</v>
      </c>
      <c r="L235" t="s">
        <v>2410</v>
      </c>
      <c r="M235" t="s">
        <v>1933</v>
      </c>
      <c r="N235" t="s">
        <v>1882</v>
      </c>
      <c r="P235" t="s">
        <v>97</v>
      </c>
      <c r="Q235" s="225" t="s">
        <v>926</v>
      </c>
    </row>
    <row r="236" spans="10:17" ht="13" thickBot="1">
      <c r="J236" s="230" t="s">
        <v>1153</v>
      </c>
      <c r="L236" t="s">
        <v>2411</v>
      </c>
      <c r="M236" t="s">
        <v>1933</v>
      </c>
      <c r="N236" t="s">
        <v>1883</v>
      </c>
      <c r="P236" t="s">
        <v>97</v>
      </c>
      <c r="Q236" s="225" t="s">
        <v>926</v>
      </c>
    </row>
    <row r="237" spans="10:17" ht="13" thickTop="1">
      <c r="J237" s="229" t="s">
        <v>1154</v>
      </c>
      <c r="L237" t="s">
        <v>1934</v>
      </c>
      <c r="M237" t="s">
        <v>1933</v>
      </c>
      <c r="N237" t="s">
        <v>1884</v>
      </c>
      <c r="P237" t="s">
        <v>1785</v>
      </c>
      <c r="Q237" s="225" t="s">
        <v>944</v>
      </c>
    </row>
    <row r="238" spans="10:17" ht="13" thickBot="1">
      <c r="J238" s="230" t="s">
        <v>1155</v>
      </c>
      <c r="L238" t="s">
        <v>1638</v>
      </c>
      <c r="M238" t="s">
        <v>1933</v>
      </c>
      <c r="N238" t="s">
        <v>1885</v>
      </c>
      <c r="P238" t="s">
        <v>1785</v>
      </c>
      <c r="Q238" s="225" t="s">
        <v>944</v>
      </c>
    </row>
    <row r="239" spans="10:17" ht="13.7" thickTop="1" thickBot="1">
      <c r="J239" s="229" t="s">
        <v>1156</v>
      </c>
      <c r="L239" s="257" t="s">
        <v>2412</v>
      </c>
      <c r="M239" t="s">
        <v>1933</v>
      </c>
      <c r="N239" t="s">
        <v>1884</v>
      </c>
      <c r="P239" t="s">
        <v>1785</v>
      </c>
      <c r="Q239" s="225" t="s">
        <v>946</v>
      </c>
    </row>
    <row r="240" spans="10:17" ht="25.2" thickTop="1">
      <c r="J240" s="232" t="s">
        <v>1157</v>
      </c>
      <c r="L240" s="229" t="s">
        <v>1485</v>
      </c>
      <c r="M240" t="s">
        <v>1933</v>
      </c>
      <c r="N240" t="s">
        <v>535</v>
      </c>
      <c r="P240" t="s">
        <v>1886</v>
      </c>
      <c r="Q240" s="225" t="s">
        <v>966</v>
      </c>
    </row>
    <row r="241" spans="10:17" ht="13" thickBot="1">
      <c r="J241" s="231" t="s">
        <v>1158</v>
      </c>
      <c r="M241" t="s">
        <v>1933</v>
      </c>
      <c r="N241" t="s">
        <v>536</v>
      </c>
      <c r="P241" t="s">
        <v>1886</v>
      </c>
      <c r="Q241" s="225" t="s">
        <v>966</v>
      </c>
    </row>
    <row r="242" spans="10:17" ht="13" thickTop="1">
      <c r="J242" s="229" t="s">
        <v>1159</v>
      </c>
      <c r="M242" t="s">
        <v>1933</v>
      </c>
      <c r="N242" t="s">
        <v>537</v>
      </c>
      <c r="P242" t="s">
        <v>1886</v>
      </c>
      <c r="Q242" s="225" t="s">
        <v>966</v>
      </c>
    </row>
    <row r="243" spans="10:17">
      <c r="J243" s="232" t="s">
        <v>1160</v>
      </c>
      <c r="M243" t="s">
        <v>1933</v>
      </c>
    </row>
    <row r="244" spans="10:17" ht="13" thickBot="1">
      <c r="J244" s="231" t="s">
        <v>2413</v>
      </c>
      <c r="M244" t="s">
        <v>1933</v>
      </c>
    </row>
    <row r="245" spans="10:17" ht="13" thickTop="1">
      <c r="J245" s="229" t="s">
        <v>1161</v>
      </c>
      <c r="M245" t="s">
        <v>1933</v>
      </c>
    </row>
    <row r="246" spans="10:17" ht="13" thickBot="1">
      <c r="J246" s="230" t="s">
        <v>1162</v>
      </c>
      <c r="M246" t="s">
        <v>1933</v>
      </c>
    </row>
    <row r="247" spans="10:17" ht="13" thickTop="1">
      <c r="J247" s="229" t="s">
        <v>2414</v>
      </c>
      <c r="M247" t="s">
        <v>1933</v>
      </c>
    </row>
    <row r="248" spans="10:17" ht="13" thickBot="1">
      <c r="J248" s="230" t="s">
        <v>1163</v>
      </c>
      <c r="M248" t="s">
        <v>1933</v>
      </c>
    </row>
    <row r="249" spans="10:17" ht="13" thickTop="1">
      <c r="J249" s="229" t="s">
        <v>1164</v>
      </c>
      <c r="M249" t="s">
        <v>1933</v>
      </c>
    </row>
    <row r="250" spans="10:17" ht="13" thickBot="1">
      <c r="J250" s="230" t="s">
        <v>1165</v>
      </c>
      <c r="M250" t="s">
        <v>1933</v>
      </c>
    </row>
    <row r="251" spans="10:17" ht="13" thickTop="1">
      <c r="J251" s="229" t="s">
        <v>2415</v>
      </c>
      <c r="M251" t="s">
        <v>1933</v>
      </c>
    </row>
    <row r="252" spans="10:17" ht="13" thickBot="1">
      <c r="J252" s="230" t="s">
        <v>1166</v>
      </c>
      <c r="M252" t="s">
        <v>1933</v>
      </c>
    </row>
    <row r="253" spans="10:17" ht="13" thickTop="1">
      <c r="J253" s="229" t="s">
        <v>1167</v>
      </c>
      <c r="M253" t="s">
        <v>1933</v>
      </c>
    </row>
    <row r="254" spans="10:17" ht="13" thickBot="1">
      <c r="J254" s="230" t="s">
        <v>1168</v>
      </c>
      <c r="M254" t="s">
        <v>1933</v>
      </c>
    </row>
    <row r="255" spans="10:17" ht="13" thickTop="1">
      <c r="J255" s="229" t="s">
        <v>1169</v>
      </c>
      <c r="M255" t="s">
        <v>1933</v>
      </c>
    </row>
    <row r="256" spans="10:17" ht="13" thickBot="1">
      <c r="J256" s="230" t="s">
        <v>1170</v>
      </c>
      <c r="M256" t="s">
        <v>1933</v>
      </c>
    </row>
    <row r="257" spans="10:13" ht="13" thickTop="1">
      <c r="J257" s="229" t="s">
        <v>1171</v>
      </c>
      <c r="M257" t="s">
        <v>1933</v>
      </c>
    </row>
    <row r="258" spans="10:13" ht="13" thickBot="1">
      <c r="J258" s="230" t="s">
        <v>2416</v>
      </c>
      <c r="M258" t="s">
        <v>1933</v>
      </c>
    </row>
    <row r="259" spans="10:13" ht="13" thickTop="1">
      <c r="J259" s="229" t="s">
        <v>1172</v>
      </c>
      <c r="M259" t="s">
        <v>1933</v>
      </c>
    </row>
    <row r="260" spans="10:13">
      <c r="J260" s="232" t="s">
        <v>2417</v>
      </c>
      <c r="M260" t="s">
        <v>1933</v>
      </c>
    </row>
    <row r="261" spans="10:13" ht="13" thickBot="1">
      <c r="J261" s="231" t="s">
        <v>544</v>
      </c>
      <c r="M261" t="s">
        <v>1933</v>
      </c>
    </row>
    <row r="262" spans="10:13" ht="13" thickTop="1">
      <c r="J262" s="229" t="s">
        <v>1174</v>
      </c>
      <c r="M262" t="s">
        <v>1933</v>
      </c>
    </row>
    <row r="263" spans="10:13" ht="13" thickBot="1">
      <c r="J263" s="230" t="s">
        <v>1175</v>
      </c>
      <c r="M263" t="s">
        <v>1933</v>
      </c>
    </row>
    <row r="264" spans="10:13" ht="13" thickTop="1">
      <c r="J264" s="229" t="s">
        <v>1176</v>
      </c>
      <c r="M264" t="s">
        <v>1933</v>
      </c>
    </row>
    <row r="265" spans="10:13" ht="13" thickBot="1">
      <c r="J265" s="230" t="s">
        <v>1177</v>
      </c>
      <c r="M265" t="s">
        <v>1933</v>
      </c>
    </row>
    <row r="266" spans="10:13" ht="13" thickTop="1">
      <c r="J266" s="229" t="s">
        <v>1178</v>
      </c>
      <c r="M266" t="s">
        <v>1933</v>
      </c>
    </row>
    <row r="267" spans="10:13" ht="13" thickBot="1">
      <c r="J267" s="230" t="s">
        <v>1179</v>
      </c>
      <c r="M267" t="s">
        <v>1933</v>
      </c>
    </row>
    <row r="268" spans="10:13" ht="13" thickTop="1">
      <c r="J268" s="229" t="s">
        <v>1180</v>
      </c>
      <c r="M268" t="s">
        <v>1933</v>
      </c>
    </row>
    <row r="269" spans="10:13" ht="13" thickBot="1">
      <c r="J269" s="230" t="s">
        <v>2418</v>
      </c>
      <c r="M269" t="s">
        <v>1933</v>
      </c>
    </row>
    <row r="270" spans="10:13" ht="13" thickTop="1">
      <c r="J270" s="229" t="s">
        <v>1181</v>
      </c>
      <c r="M270" t="s">
        <v>1933</v>
      </c>
    </row>
    <row r="271" spans="10:13" ht="13" thickBot="1">
      <c r="J271" s="230" t="s">
        <v>1182</v>
      </c>
      <c r="M271" t="s">
        <v>1933</v>
      </c>
    </row>
    <row r="272" spans="10:13" ht="13" thickTop="1">
      <c r="J272" s="229" t="s">
        <v>1183</v>
      </c>
      <c r="M272" t="s">
        <v>1933</v>
      </c>
    </row>
    <row r="273" spans="10:13" ht="13" thickBot="1">
      <c r="J273" s="230" t="s">
        <v>1184</v>
      </c>
      <c r="M273" t="s">
        <v>1933</v>
      </c>
    </row>
    <row r="274" spans="10:13" ht="13" thickTop="1">
      <c r="J274" s="229" t="s">
        <v>1185</v>
      </c>
      <c r="M274" t="s">
        <v>1933</v>
      </c>
    </row>
    <row r="275" spans="10:13" ht="13" thickBot="1">
      <c r="J275" s="230" t="s">
        <v>1186</v>
      </c>
      <c r="M275" t="s">
        <v>1933</v>
      </c>
    </row>
    <row r="276" spans="10:13" ht="13" thickTop="1">
      <c r="J276" s="229" t="s">
        <v>2419</v>
      </c>
      <c r="M276" t="s">
        <v>1933</v>
      </c>
    </row>
    <row r="277" spans="10:13" ht="13" thickBot="1">
      <c r="J277" s="230" t="s">
        <v>2420</v>
      </c>
      <c r="M277" t="s">
        <v>1933</v>
      </c>
    </row>
    <row r="278" spans="10:13" ht="13" thickTop="1">
      <c r="J278" s="229" t="s">
        <v>1187</v>
      </c>
      <c r="M278" t="s">
        <v>1933</v>
      </c>
    </row>
    <row r="279" spans="10:13" ht="13" thickBot="1">
      <c r="J279" s="230" t="s">
        <v>1188</v>
      </c>
      <c r="M279" t="s">
        <v>1933</v>
      </c>
    </row>
    <row r="280" spans="10:13" ht="13" thickTop="1">
      <c r="J280" s="229" t="s">
        <v>563</v>
      </c>
      <c r="M280" t="s">
        <v>1933</v>
      </c>
    </row>
    <row r="281" spans="10:13" ht="13" thickBot="1">
      <c r="J281" s="230" t="s">
        <v>1189</v>
      </c>
      <c r="M281" t="s">
        <v>1933</v>
      </c>
    </row>
    <row r="282" spans="10:13" ht="13" thickTop="1">
      <c r="J282" s="229" t="s">
        <v>1190</v>
      </c>
      <c r="M282" t="s">
        <v>1933</v>
      </c>
    </row>
    <row r="283" spans="10:13" ht="13" thickBot="1">
      <c r="J283" s="230" t="s">
        <v>1191</v>
      </c>
      <c r="M283" t="s">
        <v>1933</v>
      </c>
    </row>
    <row r="284" spans="10:13" ht="13" thickTop="1">
      <c r="J284" s="229" t="s">
        <v>1192</v>
      </c>
      <c r="M284" t="s">
        <v>1933</v>
      </c>
    </row>
    <row r="285" spans="10:13" ht="13" thickBot="1">
      <c r="J285" s="230" t="s">
        <v>1193</v>
      </c>
      <c r="M285" t="s">
        <v>1933</v>
      </c>
    </row>
    <row r="286" spans="10:13" ht="13" thickTop="1">
      <c r="J286" s="229" t="s">
        <v>1194</v>
      </c>
      <c r="M286" t="s">
        <v>1933</v>
      </c>
    </row>
    <row r="287" spans="10:13" ht="13" thickBot="1">
      <c r="J287" s="230" t="s">
        <v>1195</v>
      </c>
      <c r="M287" t="s">
        <v>1933</v>
      </c>
    </row>
    <row r="288" spans="10:13" ht="13" thickTop="1">
      <c r="J288" s="229" t="s">
        <v>576</v>
      </c>
      <c r="M288" t="s">
        <v>1933</v>
      </c>
    </row>
    <row r="289" spans="10:13" ht="13" thickBot="1">
      <c r="J289" s="230" t="s">
        <v>1196</v>
      </c>
      <c r="M289" t="s">
        <v>1933</v>
      </c>
    </row>
    <row r="290" spans="10:13" ht="13" thickTop="1">
      <c r="J290" s="229" t="s">
        <v>1197</v>
      </c>
      <c r="M290" t="s">
        <v>1933</v>
      </c>
    </row>
    <row r="291" spans="10:13" ht="13" thickBot="1">
      <c r="J291" s="230" t="s">
        <v>1198</v>
      </c>
      <c r="M291" t="s">
        <v>1933</v>
      </c>
    </row>
    <row r="292" spans="10:13" ht="13" thickTop="1">
      <c r="J292" s="229" t="s">
        <v>1199</v>
      </c>
      <c r="M292" t="s">
        <v>1933</v>
      </c>
    </row>
    <row r="293" spans="10:13" ht="13" thickBot="1">
      <c r="J293" s="230" t="s">
        <v>1200</v>
      </c>
      <c r="M293" t="s">
        <v>1933</v>
      </c>
    </row>
    <row r="294" spans="10:13" ht="13" thickTop="1">
      <c r="J294" s="229" t="s">
        <v>1201</v>
      </c>
      <c r="M294" t="s">
        <v>1933</v>
      </c>
    </row>
    <row r="295" spans="10:13" ht="13" thickBot="1">
      <c r="J295" s="230" t="s">
        <v>509</v>
      </c>
      <c r="M295" t="s">
        <v>1933</v>
      </c>
    </row>
    <row r="296" spans="10:13" ht="13" thickTop="1">
      <c r="J296" s="229" t="s">
        <v>1202</v>
      </c>
      <c r="M296" t="s">
        <v>1933</v>
      </c>
    </row>
    <row r="297" spans="10:13" ht="13" thickBot="1">
      <c r="J297" s="230" t="s">
        <v>514</v>
      </c>
      <c r="M297" t="s">
        <v>1933</v>
      </c>
    </row>
    <row r="298" spans="10:13" ht="13" thickTop="1">
      <c r="J298" s="229" t="s">
        <v>257</v>
      </c>
      <c r="M298" t="s">
        <v>1933</v>
      </c>
    </row>
    <row r="299" spans="10:13" ht="13" thickBot="1">
      <c r="J299" s="230" t="s">
        <v>1203</v>
      </c>
      <c r="M299" t="s">
        <v>1933</v>
      </c>
    </row>
    <row r="300" spans="10:13" ht="13" thickTop="1">
      <c r="J300" s="229" t="s">
        <v>687</v>
      </c>
      <c r="M300" t="s">
        <v>1933</v>
      </c>
    </row>
    <row r="301" spans="10:13" ht="13" thickBot="1">
      <c r="J301" s="230" t="s">
        <v>1204</v>
      </c>
      <c r="M301" t="s">
        <v>1933</v>
      </c>
    </row>
    <row r="302" spans="10:13" ht="13" thickTop="1">
      <c r="J302" s="229" t="s">
        <v>495</v>
      </c>
      <c r="M302" t="s">
        <v>1933</v>
      </c>
    </row>
    <row r="303" spans="10:13" ht="13" thickBot="1">
      <c r="J303" s="230" t="s">
        <v>1205</v>
      </c>
      <c r="M303" t="s">
        <v>1933</v>
      </c>
    </row>
    <row r="304" spans="10:13" ht="13" thickTop="1">
      <c r="J304" s="229" t="s">
        <v>1206</v>
      </c>
      <c r="M304" t="s">
        <v>1933</v>
      </c>
    </row>
    <row r="305" spans="10:13" ht="13" thickBot="1">
      <c r="J305" s="230" t="s">
        <v>1207</v>
      </c>
      <c r="M305" t="s">
        <v>1933</v>
      </c>
    </row>
    <row r="306" spans="10:13" ht="13" thickTop="1">
      <c r="J306" s="229" t="s">
        <v>1208</v>
      </c>
      <c r="M306" t="s">
        <v>1933</v>
      </c>
    </row>
    <row r="307" spans="10:13" ht="13" thickBot="1">
      <c r="J307" s="230" t="s">
        <v>513</v>
      </c>
      <c r="M307" t="s">
        <v>1933</v>
      </c>
    </row>
    <row r="308" spans="10:13" ht="13" thickTop="1">
      <c r="J308" s="229" t="s">
        <v>2421</v>
      </c>
      <c r="M308" t="s">
        <v>1933</v>
      </c>
    </row>
    <row r="309" spans="10:13" ht="13" thickBot="1">
      <c r="J309" s="230" t="s">
        <v>1209</v>
      </c>
      <c r="M309" t="s">
        <v>1933</v>
      </c>
    </row>
    <row r="310" spans="10:13" ht="13" thickTop="1">
      <c r="J310" s="229" t="s">
        <v>1210</v>
      </c>
      <c r="M310" t="s">
        <v>1933</v>
      </c>
    </row>
    <row r="311" spans="10:13" ht="13" thickBot="1">
      <c r="J311" s="230" t="s">
        <v>1211</v>
      </c>
      <c r="M311" t="s">
        <v>1933</v>
      </c>
    </row>
    <row r="312" spans="10:13" ht="13" thickTop="1">
      <c r="J312" s="229" t="s">
        <v>1212</v>
      </c>
      <c r="M312" t="s">
        <v>1933</v>
      </c>
    </row>
    <row r="313" spans="10:13" ht="13" thickBot="1">
      <c r="J313" s="230" t="s">
        <v>1213</v>
      </c>
      <c r="M313" t="s">
        <v>1933</v>
      </c>
    </row>
    <row r="314" spans="10:13" ht="13" thickTop="1">
      <c r="J314" s="229" t="s">
        <v>1214</v>
      </c>
      <c r="M314" t="s">
        <v>1933</v>
      </c>
    </row>
    <row r="315" spans="10:13" ht="13" thickBot="1">
      <c r="J315" s="230" t="s">
        <v>2422</v>
      </c>
      <c r="M315" t="s">
        <v>1933</v>
      </c>
    </row>
    <row r="316" spans="10:13" ht="13" thickTop="1">
      <c r="J316" s="229" t="s">
        <v>589</v>
      </c>
      <c r="M316" t="s">
        <v>1933</v>
      </c>
    </row>
    <row r="317" spans="10:13" ht="13" thickBot="1">
      <c r="J317" s="230" t="s">
        <v>1215</v>
      </c>
      <c r="M317" t="s">
        <v>1933</v>
      </c>
    </row>
    <row r="318" spans="10:13" ht="13" thickTop="1">
      <c r="J318" s="229" t="s">
        <v>1216</v>
      </c>
      <c r="M318" t="s">
        <v>1933</v>
      </c>
    </row>
    <row r="319" spans="10:13" ht="13" thickBot="1">
      <c r="J319" s="230" t="s">
        <v>1217</v>
      </c>
      <c r="M319" t="s">
        <v>1933</v>
      </c>
    </row>
    <row r="320" spans="10:13" ht="13" thickTop="1">
      <c r="J320" s="229" t="s">
        <v>1218</v>
      </c>
      <c r="M320" t="s">
        <v>1933</v>
      </c>
    </row>
    <row r="321" spans="10:13" ht="13" thickBot="1">
      <c r="J321" s="230" t="s">
        <v>1219</v>
      </c>
      <c r="M321" t="s">
        <v>1933</v>
      </c>
    </row>
    <row r="322" spans="10:13" ht="13" thickTop="1">
      <c r="J322" s="229" t="s">
        <v>1220</v>
      </c>
      <c r="M322" t="s">
        <v>1933</v>
      </c>
    </row>
    <row r="323" spans="10:13" ht="13" thickBot="1">
      <c r="J323" s="230" t="s">
        <v>1221</v>
      </c>
      <c r="M323" t="s">
        <v>1933</v>
      </c>
    </row>
    <row r="324" spans="10:13" ht="13" thickTop="1">
      <c r="J324" s="229" t="s">
        <v>1222</v>
      </c>
      <c r="M324" t="s">
        <v>1933</v>
      </c>
    </row>
    <row r="325" spans="10:13" ht="13" thickBot="1">
      <c r="J325" s="230" t="s">
        <v>1223</v>
      </c>
      <c r="M325" t="s">
        <v>1933</v>
      </c>
    </row>
    <row r="326" spans="10:13" ht="13" thickTop="1">
      <c r="J326" s="229" t="s">
        <v>1224</v>
      </c>
      <c r="M326" t="s">
        <v>1933</v>
      </c>
    </row>
    <row r="327" spans="10:13" ht="13" thickBot="1">
      <c r="J327" s="230" t="s">
        <v>1225</v>
      </c>
      <c r="M327" t="s">
        <v>1933</v>
      </c>
    </row>
    <row r="328" spans="10:13" ht="13" thickTop="1">
      <c r="J328" s="229" t="s">
        <v>1226</v>
      </c>
      <c r="M328" t="s">
        <v>1933</v>
      </c>
    </row>
    <row r="329" spans="10:13" ht="13" thickBot="1">
      <c r="J329" s="230" t="s">
        <v>1227</v>
      </c>
      <c r="M329" t="s">
        <v>1933</v>
      </c>
    </row>
    <row r="330" spans="10:13" ht="13" thickTop="1">
      <c r="J330" s="229" t="s">
        <v>1228</v>
      </c>
      <c r="M330" t="s">
        <v>1933</v>
      </c>
    </row>
    <row r="331" spans="10:13" ht="13" thickBot="1">
      <c r="J331" s="230" t="s">
        <v>1229</v>
      </c>
      <c r="M331" t="s">
        <v>1933</v>
      </c>
    </row>
    <row r="332" spans="10:13" ht="13" thickTop="1">
      <c r="J332" s="229" t="s">
        <v>1230</v>
      </c>
      <c r="M332" t="s">
        <v>1933</v>
      </c>
    </row>
    <row r="333" spans="10:13" ht="13" thickBot="1">
      <c r="J333" s="230" t="s">
        <v>2423</v>
      </c>
      <c r="M333" t="s">
        <v>1933</v>
      </c>
    </row>
    <row r="334" spans="10:13" ht="13" thickTop="1">
      <c r="J334" s="229" t="s">
        <v>1231</v>
      </c>
      <c r="M334" t="s">
        <v>1933</v>
      </c>
    </row>
    <row r="335" spans="10:13" ht="13" thickBot="1">
      <c r="J335" s="230" t="s">
        <v>1232</v>
      </c>
      <c r="M335" t="s">
        <v>1933</v>
      </c>
    </row>
    <row r="336" spans="10:13" ht="13" thickTop="1">
      <c r="J336" s="229" t="s">
        <v>1233</v>
      </c>
      <c r="M336" t="s">
        <v>1933</v>
      </c>
    </row>
    <row r="337" spans="10:13" ht="13" thickBot="1">
      <c r="J337" s="230" t="s">
        <v>1234</v>
      </c>
      <c r="M337" t="s">
        <v>1933</v>
      </c>
    </row>
    <row r="338" spans="10:13" ht="13" thickTop="1">
      <c r="J338" s="229" t="s">
        <v>1235</v>
      </c>
      <c r="M338" t="s">
        <v>1933</v>
      </c>
    </row>
    <row r="339" spans="10:13">
      <c r="J339" s="232" t="s">
        <v>1236</v>
      </c>
      <c r="M339" t="s">
        <v>1933</v>
      </c>
    </row>
    <row r="340" spans="10:13" ht="13" thickBot="1">
      <c r="J340" s="231" t="s">
        <v>1237</v>
      </c>
      <c r="M340" t="s">
        <v>1933</v>
      </c>
    </row>
    <row r="341" spans="10:13" ht="13" thickTop="1">
      <c r="J341" s="229" t="s">
        <v>1238</v>
      </c>
      <c r="M341" t="s">
        <v>1933</v>
      </c>
    </row>
    <row r="342" spans="10:13" ht="13" thickBot="1">
      <c r="J342" s="230" t="s">
        <v>1239</v>
      </c>
      <c r="M342" t="s">
        <v>1933</v>
      </c>
    </row>
    <row r="343" spans="10:13" ht="13" thickTop="1">
      <c r="J343" s="229" t="s">
        <v>2424</v>
      </c>
      <c r="M343" t="s">
        <v>1933</v>
      </c>
    </row>
    <row r="344" spans="10:13" ht="13" thickBot="1">
      <c r="J344" s="230" t="s">
        <v>1240</v>
      </c>
      <c r="M344" t="s">
        <v>1933</v>
      </c>
    </row>
    <row r="345" spans="10:13" ht="13" thickTop="1">
      <c r="J345" s="229" t="s">
        <v>1241</v>
      </c>
      <c r="M345" t="s">
        <v>1933</v>
      </c>
    </row>
    <row r="346" spans="10:13">
      <c r="J346" s="232" t="s">
        <v>1242</v>
      </c>
      <c r="M346" t="s">
        <v>1933</v>
      </c>
    </row>
    <row r="347" spans="10:13" ht="13" thickBot="1">
      <c r="J347" s="231" t="s">
        <v>1243</v>
      </c>
      <c r="M347" t="s">
        <v>1933</v>
      </c>
    </row>
    <row r="348" spans="10:13" ht="13" thickTop="1">
      <c r="J348" s="229" t="s">
        <v>537</v>
      </c>
      <c r="M348" t="s">
        <v>1933</v>
      </c>
    </row>
    <row r="349" spans="10:13" ht="13" thickBot="1">
      <c r="J349" s="230" t="s">
        <v>1244</v>
      </c>
      <c r="M349" t="s">
        <v>1933</v>
      </c>
    </row>
    <row r="350" spans="10:13" ht="13" thickTop="1">
      <c r="J350" s="229" t="s">
        <v>568</v>
      </c>
      <c r="M350" t="s">
        <v>1933</v>
      </c>
    </row>
    <row r="351" spans="10:13" ht="13" thickBot="1">
      <c r="J351" s="230" t="s">
        <v>1245</v>
      </c>
      <c r="M351" t="s">
        <v>1933</v>
      </c>
    </row>
    <row r="352" spans="10:13" ht="13" thickTop="1">
      <c r="J352" s="229" t="s">
        <v>496</v>
      </c>
      <c r="M352" t="s">
        <v>1933</v>
      </c>
    </row>
    <row r="353" spans="10:13" ht="13" thickBot="1">
      <c r="J353" s="230" t="s">
        <v>1246</v>
      </c>
      <c r="M353" t="s">
        <v>1933</v>
      </c>
    </row>
    <row r="354" spans="10:13" ht="13" thickTop="1">
      <c r="J354" s="229" t="s">
        <v>2425</v>
      </c>
      <c r="M354" t="s">
        <v>1933</v>
      </c>
    </row>
    <row r="355" spans="10:13" ht="13" thickBot="1">
      <c r="J355" s="230" t="s">
        <v>1247</v>
      </c>
      <c r="M355" t="s">
        <v>1933</v>
      </c>
    </row>
    <row r="356" spans="10:13" ht="13" thickTop="1">
      <c r="J356" s="229" t="s">
        <v>1248</v>
      </c>
      <c r="M356" t="s">
        <v>1933</v>
      </c>
    </row>
    <row r="357" spans="10:13" ht="13" thickBot="1">
      <c r="J357" s="230" t="s">
        <v>1249</v>
      </c>
      <c r="M357" t="s">
        <v>1933</v>
      </c>
    </row>
    <row r="358" spans="10:13" ht="13" thickTop="1">
      <c r="J358" s="229" t="s">
        <v>1250</v>
      </c>
      <c r="M358" t="s">
        <v>1933</v>
      </c>
    </row>
    <row r="359" spans="10:13" ht="13" thickBot="1">
      <c r="J359" s="230" t="s">
        <v>1251</v>
      </c>
      <c r="M359" t="s">
        <v>1933</v>
      </c>
    </row>
    <row r="360" spans="10:13" ht="13" thickTop="1">
      <c r="J360" s="229" t="s">
        <v>1252</v>
      </c>
      <c r="M360" t="s">
        <v>1933</v>
      </c>
    </row>
    <row r="361" spans="10:13" ht="13" thickBot="1">
      <c r="J361" s="230" t="s">
        <v>1253</v>
      </c>
      <c r="M361" t="s">
        <v>1933</v>
      </c>
    </row>
    <row r="362" spans="10:13" ht="13" thickTop="1">
      <c r="J362" s="229" t="s">
        <v>557</v>
      </c>
      <c r="M362" t="s">
        <v>1933</v>
      </c>
    </row>
    <row r="363" spans="10:13" ht="13" thickBot="1">
      <c r="J363" s="230" t="s">
        <v>1254</v>
      </c>
      <c r="M363" t="s">
        <v>1933</v>
      </c>
    </row>
    <row r="364" spans="10:13" ht="13" thickTop="1">
      <c r="J364" s="229" t="s">
        <v>1255</v>
      </c>
      <c r="M364" t="s">
        <v>1933</v>
      </c>
    </row>
    <row r="365" spans="10:13" ht="13" thickBot="1">
      <c r="J365" s="230" t="s">
        <v>1256</v>
      </c>
      <c r="M365" t="s">
        <v>1933</v>
      </c>
    </row>
    <row r="366" spans="10:13" ht="13" thickTop="1">
      <c r="J366" s="229" t="s">
        <v>582</v>
      </c>
      <c r="M366" t="s">
        <v>1933</v>
      </c>
    </row>
    <row r="367" spans="10:13" ht="13" thickBot="1">
      <c r="J367" s="230" t="s">
        <v>1257</v>
      </c>
      <c r="M367" t="s">
        <v>1933</v>
      </c>
    </row>
    <row r="368" spans="10:13" ht="13" thickTop="1">
      <c r="J368" s="229" t="s">
        <v>1258</v>
      </c>
      <c r="M368" t="s">
        <v>1933</v>
      </c>
    </row>
    <row r="369" spans="10:13" ht="13" thickBot="1">
      <c r="J369" s="230" t="s">
        <v>2426</v>
      </c>
      <c r="M369" t="s">
        <v>1933</v>
      </c>
    </row>
    <row r="370" spans="10:13" ht="13" thickTop="1">
      <c r="J370" s="229" t="s">
        <v>1259</v>
      </c>
      <c r="M370" t="s">
        <v>1933</v>
      </c>
    </row>
    <row r="371" spans="10:13" ht="13" thickBot="1">
      <c r="J371" s="230" t="s">
        <v>538</v>
      </c>
      <c r="M371" t="s">
        <v>1933</v>
      </c>
    </row>
    <row r="372" spans="10:13" ht="13" thickTop="1">
      <c r="J372" s="229" t="s">
        <v>1260</v>
      </c>
      <c r="M372" t="s">
        <v>1933</v>
      </c>
    </row>
    <row r="373" spans="10:13" ht="13" thickBot="1">
      <c r="J373" s="230" t="s">
        <v>1261</v>
      </c>
      <c r="M373" t="s">
        <v>1933</v>
      </c>
    </row>
    <row r="374" spans="10:13" ht="13" thickTop="1">
      <c r="J374" s="229" t="s">
        <v>1262</v>
      </c>
      <c r="M374" t="s">
        <v>1933</v>
      </c>
    </row>
    <row r="375" spans="10:13" ht="13" thickBot="1">
      <c r="J375" s="230" t="s">
        <v>1263</v>
      </c>
      <c r="M375" t="s">
        <v>1933</v>
      </c>
    </row>
    <row r="376" spans="10:13" ht="13" thickTop="1">
      <c r="J376" s="229" t="s">
        <v>498</v>
      </c>
      <c r="M376" t="s">
        <v>1933</v>
      </c>
    </row>
    <row r="377" spans="10:13" ht="13" thickBot="1">
      <c r="J377" s="230" t="s">
        <v>1264</v>
      </c>
      <c r="M377" t="s">
        <v>1933</v>
      </c>
    </row>
    <row r="378" spans="10:13" ht="13" thickTop="1">
      <c r="J378" s="229" t="s">
        <v>1265</v>
      </c>
      <c r="M378" t="s">
        <v>1933</v>
      </c>
    </row>
    <row r="379" spans="10:13" ht="13" thickBot="1">
      <c r="J379" s="230" t="s">
        <v>1266</v>
      </c>
      <c r="M379" t="s">
        <v>1933</v>
      </c>
    </row>
    <row r="380" spans="10:13" ht="13" thickTop="1">
      <c r="J380" s="229" t="s">
        <v>532</v>
      </c>
      <c r="M380" t="s">
        <v>1933</v>
      </c>
    </row>
    <row r="381" spans="10:13" ht="13" thickBot="1">
      <c r="J381" s="230" t="s">
        <v>1267</v>
      </c>
      <c r="M381" t="s">
        <v>1933</v>
      </c>
    </row>
    <row r="382" spans="10:13" ht="13" thickTop="1">
      <c r="J382" s="229" t="s">
        <v>1268</v>
      </c>
      <c r="M382" t="s">
        <v>1933</v>
      </c>
    </row>
    <row r="383" spans="10:13" ht="13" thickBot="1">
      <c r="J383" s="230" t="s">
        <v>1269</v>
      </c>
      <c r="M383" t="s">
        <v>1933</v>
      </c>
    </row>
    <row r="384" spans="10:13" ht="13" thickTop="1">
      <c r="J384" s="229" t="s">
        <v>1270</v>
      </c>
      <c r="M384" t="s">
        <v>1933</v>
      </c>
    </row>
    <row r="385" spans="10:13" ht="13" thickBot="1">
      <c r="J385" s="230" t="s">
        <v>1271</v>
      </c>
      <c r="M385" t="s">
        <v>1933</v>
      </c>
    </row>
    <row r="386" spans="10:13" ht="13" thickTop="1">
      <c r="J386" s="229" t="s">
        <v>1272</v>
      </c>
      <c r="M386" t="s">
        <v>1933</v>
      </c>
    </row>
    <row r="387" spans="10:13" ht="13" thickBot="1">
      <c r="J387" s="230" t="s">
        <v>1273</v>
      </c>
      <c r="M387" t="s">
        <v>1933</v>
      </c>
    </row>
    <row r="388" spans="10:13" ht="13" thickTop="1">
      <c r="J388" s="229" t="s">
        <v>519</v>
      </c>
      <c r="M388" t="s">
        <v>1933</v>
      </c>
    </row>
    <row r="389" spans="10:13" ht="13" thickBot="1">
      <c r="J389" s="230" t="s">
        <v>1274</v>
      </c>
      <c r="M389" t="s">
        <v>1933</v>
      </c>
    </row>
    <row r="390" spans="10:13" ht="13" thickTop="1">
      <c r="J390" s="229" t="s">
        <v>1275</v>
      </c>
      <c r="M390" t="s">
        <v>1933</v>
      </c>
    </row>
    <row r="391" spans="10:13">
      <c r="J391" s="232" t="s">
        <v>1276</v>
      </c>
      <c r="M391" t="s">
        <v>1933</v>
      </c>
    </row>
    <row r="392" spans="10:13" ht="13" thickBot="1">
      <c r="J392" s="231" t="s">
        <v>1277</v>
      </c>
      <c r="M392" t="s">
        <v>1933</v>
      </c>
    </row>
    <row r="393" spans="10:13" ht="13" thickTop="1">
      <c r="J393" s="229" t="s">
        <v>1278</v>
      </c>
      <c r="M393" t="s">
        <v>1933</v>
      </c>
    </row>
    <row r="394" spans="10:13" ht="13" thickBot="1">
      <c r="J394" s="230" t="s">
        <v>2427</v>
      </c>
      <c r="M394" t="s">
        <v>1933</v>
      </c>
    </row>
    <row r="395" spans="10:13" ht="13" thickTop="1">
      <c r="J395" s="229" t="s">
        <v>1279</v>
      </c>
      <c r="M395" t="s">
        <v>1933</v>
      </c>
    </row>
    <row r="396" spans="10:13" ht="13" thickBot="1">
      <c r="J396" s="230" t="s">
        <v>1280</v>
      </c>
      <c r="M396" t="s">
        <v>1933</v>
      </c>
    </row>
    <row r="397" spans="10:13" ht="13" thickTop="1">
      <c r="J397" s="229" t="s">
        <v>1281</v>
      </c>
      <c r="M397" t="s">
        <v>1933</v>
      </c>
    </row>
    <row r="398" spans="10:13" ht="13" thickBot="1">
      <c r="J398" s="230" t="s">
        <v>1282</v>
      </c>
      <c r="M398" t="s">
        <v>1933</v>
      </c>
    </row>
    <row r="399" spans="10:13" ht="13" thickTop="1">
      <c r="J399" s="229" t="s">
        <v>1283</v>
      </c>
      <c r="M399" t="s">
        <v>1933</v>
      </c>
    </row>
    <row r="400" spans="10:13" ht="13" thickBot="1">
      <c r="J400" s="230" t="s">
        <v>1284</v>
      </c>
      <c r="M400" t="s">
        <v>1933</v>
      </c>
    </row>
    <row r="401" spans="10:13" ht="13" thickTop="1">
      <c r="J401" s="229" t="s">
        <v>1285</v>
      </c>
      <c r="M401" t="s">
        <v>1933</v>
      </c>
    </row>
    <row r="402" spans="10:13" ht="13" thickBot="1">
      <c r="J402" s="230" t="s">
        <v>1286</v>
      </c>
      <c r="M402" t="s">
        <v>1933</v>
      </c>
    </row>
    <row r="403" spans="10:13" ht="13" thickTop="1">
      <c r="J403" s="229" t="s">
        <v>1287</v>
      </c>
      <c r="M403" t="s">
        <v>1933</v>
      </c>
    </row>
    <row r="404" spans="10:13" ht="13" thickBot="1">
      <c r="J404" s="230" t="s">
        <v>1288</v>
      </c>
      <c r="M404" t="s">
        <v>1933</v>
      </c>
    </row>
    <row r="405" spans="10:13" ht="13" thickTop="1">
      <c r="J405" s="229" t="s">
        <v>1289</v>
      </c>
      <c r="M405" t="s">
        <v>1933</v>
      </c>
    </row>
    <row r="406" spans="10:13" ht="13" thickBot="1">
      <c r="J406" s="230" t="s">
        <v>1290</v>
      </c>
      <c r="M406" t="s">
        <v>1933</v>
      </c>
    </row>
    <row r="407" spans="10:13" ht="13" thickTop="1">
      <c r="J407" s="229" t="s">
        <v>1291</v>
      </c>
      <c r="M407" t="s">
        <v>1933</v>
      </c>
    </row>
    <row r="408" spans="10:13" ht="13" thickBot="1">
      <c r="J408" s="230" t="s">
        <v>1292</v>
      </c>
      <c r="M408" t="s">
        <v>1933</v>
      </c>
    </row>
    <row r="409" spans="10:13" ht="13" thickTop="1">
      <c r="J409" s="229" t="s">
        <v>1293</v>
      </c>
      <c r="M409" t="s">
        <v>1933</v>
      </c>
    </row>
    <row r="410" spans="10:13" ht="13" thickBot="1">
      <c r="J410" s="230" t="s">
        <v>1294</v>
      </c>
      <c r="M410" t="s">
        <v>1933</v>
      </c>
    </row>
    <row r="411" spans="10:13" ht="13" thickTop="1">
      <c r="J411" s="229" t="s">
        <v>2428</v>
      </c>
      <c r="M411" t="s">
        <v>1933</v>
      </c>
    </row>
    <row r="412" spans="10:13" ht="13" thickBot="1">
      <c r="J412" s="230" t="s">
        <v>1295</v>
      </c>
      <c r="M412" t="s">
        <v>1933</v>
      </c>
    </row>
    <row r="413" spans="10:13" ht="13" thickTop="1">
      <c r="J413" s="229" t="s">
        <v>1296</v>
      </c>
      <c r="M413" t="s">
        <v>1933</v>
      </c>
    </row>
    <row r="414" spans="10:13" ht="13" thickBot="1">
      <c r="J414" s="230" t="s">
        <v>1297</v>
      </c>
      <c r="M414" t="s">
        <v>1933</v>
      </c>
    </row>
    <row r="415" spans="10:13" ht="13" thickTop="1">
      <c r="J415" s="229" t="s">
        <v>1298</v>
      </c>
      <c r="M415" t="s">
        <v>1933</v>
      </c>
    </row>
    <row r="416" spans="10:13" ht="13" thickBot="1">
      <c r="J416" s="230" t="s">
        <v>1299</v>
      </c>
      <c r="M416" t="s">
        <v>1933</v>
      </c>
    </row>
    <row r="417" spans="10:13" ht="13" thickTop="1">
      <c r="J417" s="229" t="s">
        <v>667</v>
      </c>
      <c r="M417" t="s">
        <v>1933</v>
      </c>
    </row>
    <row r="418" spans="10:13" ht="13" thickBot="1">
      <c r="J418" s="230" t="s">
        <v>1300</v>
      </c>
      <c r="M418" t="s">
        <v>1933</v>
      </c>
    </row>
    <row r="419" spans="10:13" ht="13" thickTop="1">
      <c r="J419" s="229" t="s">
        <v>1301</v>
      </c>
      <c r="M419" t="s">
        <v>1933</v>
      </c>
    </row>
    <row r="420" spans="10:13" ht="13" thickBot="1">
      <c r="J420" s="230" t="s">
        <v>1302</v>
      </c>
      <c r="M420" t="s">
        <v>1933</v>
      </c>
    </row>
    <row r="421" spans="10:13" ht="13" thickTop="1">
      <c r="J421" s="229" t="s">
        <v>600</v>
      </c>
      <c r="M421" t="s">
        <v>1933</v>
      </c>
    </row>
    <row r="422" spans="10:13" ht="13" thickBot="1">
      <c r="J422" s="230" t="s">
        <v>2429</v>
      </c>
      <c r="M422" t="s">
        <v>1933</v>
      </c>
    </row>
    <row r="423" spans="10:13" ht="13" thickTop="1">
      <c r="J423" s="229" t="s">
        <v>1303</v>
      </c>
      <c r="M423" t="s">
        <v>1933</v>
      </c>
    </row>
    <row r="424" spans="10:13" ht="13" thickBot="1">
      <c r="J424" s="230" t="s">
        <v>1304</v>
      </c>
      <c r="M424" t="s">
        <v>1933</v>
      </c>
    </row>
    <row r="425" spans="10:13" ht="13" thickTop="1">
      <c r="J425" s="229" t="s">
        <v>1305</v>
      </c>
      <c r="M425" t="s">
        <v>1933</v>
      </c>
    </row>
    <row r="426" spans="10:13" ht="13" thickBot="1">
      <c r="J426" s="230" t="s">
        <v>1306</v>
      </c>
      <c r="M426" t="s">
        <v>1933</v>
      </c>
    </row>
    <row r="427" spans="10:13" ht="13" thickTop="1">
      <c r="J427" s="229" t="s">
        <v>1307</v>
      </c>
      <c r="M427" t="s">
        <v>1933</v>
      </c>
    </row>
    <row r="428" spans="10:13" ht="13" thickBot="1">
      <c r="J428" s="230" t="s">
        <v>1308</v>
      </c>
      <c r="M428" t="s">
        <v>1933</v>
      </c>
    </row>
    <row r="429" spans="10:13" ht="13" thickTop="1">
      <c r="J429" s="229" t="s">
        <v>1309</v>
      </c>
      <c r="M429" t="s">
        <v>1933</v>
      </c>
    </row>
    <row r="430" spans="10:13" ht="13" thickBot="1">
      <c r="J430" s="230" t="s">
        <v>588</v>
      </c>
      <c r="M430" t="s">
        <v>1933</v>
      </c>
    </row>
    <row r="431" spans="10:13" ht="13" thickTop="1">
      <c r="J431" s="229" t="s">
        <v>1310</v>
      </c>
      <c r="M431" t="s">
        <v>1933</v>
      </c>
    </row>
    <row r="432" spans="10:13" ht="13" thickBot="1">
      <c r="J432" s="230" t="s">
        <v>1311</v>
      </c>
      <c r="M432" t="s">
        <v>1933</v>
      </c>
    </row>
    <row r="433" spans="10:13" ht="13" thickTop="1">
      <c r="J433" s="229" t="s">
        <v>1312</v>
      </c>
      <c r="M433" t="s">
        <v>1933</v>
      </c>
    </row>
    <row r="434" spans="10:13" ht="13" thickBot="1">
      <c r="J434" s="230" t="s">
        <v>1313</v>
      </c>
      <c r="M434" t="s">
        <v>1933</v>
      </c>
    </row>
    <row r="435" spans="10:13" ht="13" thickTop="1">
      <c r="J435" s="229" t="s">
        <v>1314</v>
      </c>
      <c r="M435" t="s">
        <v>1933</v>
      </c>
    </row>
    <row r="436" spans="10:13" ht="13" thickBot="1">
      <c r="J436" s="230" t="s">
        <v>1315</v>
      </c>
      <c r="M436" t="s">
        <v>1933</v>
      </c>
    </row>
    <row r="437" spans="10:13" ht="13" thickTop="1">
      <c r="J437" s="229" t="s">
        <v>1316</v>
      </c>
      <c r="M437" t="s">
        <v>1933</v>
      </c>
    </row>
    <row r="438" spans="10:13" ht="13" thickBot="1">
      <c r="J438" s="230" t="s">
        <v>1317</v>
      </c>
      <c r="M438" t="s">
        <v>1933</v>
      </c>
    </row>
    <row r="439" spans="10:13" ht="13" thickTop="1">
      <c r="J439" s="229" t="s">
        <v>1318</v>
      </c>
      <c r="M439" t="s">
        <v>1933</v>
      </c>
    </row>
    <row r="440" spans="10:13" ht="13" thickBot="1">
      <c r="J440" s="230" t="s">
        <v>2430</v>
      </c>
      <c r="M440" t="s">
        <v>1933</v>
      </c>
    </row>
    <row r="441" spans="10:13" ht="13" thickTop="1">
      <c r="J441" s="229" t="s">
        <v>1319</v>
      </c>
      <c r="M441" t="s">
        <v>1933</v>
      </c>
    </row>
    <row r="442" spans="10:13" ht="13" thickBot="1">
      <c r="J442" s="230" t="s">
        <v>1320</v>
      </c>
      <c r="M442" t="s">
        <v>1933</v>
      </c>
    </row>
    <row r="443" spans="10:13" ht="13" thickTop="1">
      <c r="J443" s="229" t="s">
        <v>133</v>
      </c>
      <c r="M443" t="s">
        <v>1933</v>
      </c>
    </row>
    <row r="444" spans="10:13" ht="13" thickBot="1">
      <c r="J444" s="230" t="s">
        <v>1321</v>
      </c>
      <c r="M444" t="s">
        <v>1933</v>
      </c>
    </row>
    <row r="445" spans="10:13" ht="13" thickTop="1">
      <c r="J445" s="229" t="s">
        <v>1322</v>
      </c>
      <c r="M445" t="s">
        <v>1933</v>
      </c>
    </row>
    <row r="446" spans="10:13" ht="13" thickBot="1">
      <c r="J446" s="230" t="s">
        <v>1323</v>
      </c>
      <c r="M446" t="s">
        <v>1933</v>
      </c>
    </row>
    <row r="447" spans="10:13" ht="13" thickTop="1">
      <c r="J447" s="229" t="s">
        <v>506</v>
      </c>
      <c r="M447" t="s">
        <v>1933</v>
      </c>
    </row>
    <row r="448" spans="10:13" ht="13" thickBot="1">
      <c r="J448" s="230" t="s">
        <v>1324</v>
      </c>
      <c r="M448" t="s">
        <v>1933</v>
      </c>
    </row>
    <row r="449" spans="10:13" ht="13" thickTop="1">
      <c r="J449" s="229" t="s">
        <v>1325</v>
      </c>
      <c r="M449" t="s">
        <v>1933</v>
      </c>
    </row>
    <row r="450" spans="10:13" ht="13" thickBot="1">
      <c r="J450" s="230" t="s">
        <v>2431</v>
      </c>
      <c r="M450" t="s">
        <v>1933</v>
      </c>
    </row>
    <row r="451" spans="10:13" ht="13" thickTop="1">
      <c r="J451" s="229" t="s">
        <v>2432</v>
      </c>
      <c r="M451" t="s">
        <v>1933</v>
      </c>
    </row>
    <row r="452" spans="10:13" ht="13" thickBot="1">
      <c r="J452" s="230" t="s">
        <v>1326</v>
      </c>
      <c r="M452" t="s">
        <v>1933</v>
      </c>
    </row>
    <row r="453" spans="10:13" ht="13" thickTop="1">
      <c r="J453" s="229" t="s">
        <v>1327</v>
      </c>
      <c r="M453" t="s">
        <v>1933</v>
      </c>
    </row>
    <row r="454" spans="10:13" ht="13" thickBot="1">
      <c r="J454" s="230" t="s">
        <v>2433</v>
      </c>
      <c r="M454" t="s">
        <v>1933</v>
      </c>
    </row>
    <row r="455" spans="10:13" ht="13" thickTop="1">
      <c r="J455" s="229" t="s">
        <v>1328</v>
      </c>
      <c r="M455" t="s">
        <v>1933</v>
      </c>
    </row>
    <row r="456" spans="10:13" ht="13" thickBot="1">
      <c r="J456" s="230" t="s">
        <v>1329</v>
      </c>
      <c r="M456" t="s">
        <v>1933</v>
      </c>
    </row>
    <row r="457" spans="10:13" ht="13" thickTop="1">
      <c r="J457" s="229" t="s">
        <v>1330</v>
      </c>
      <c r="M457" t="s">
        <v>1933</v>
      </c>
    </row>
    <row r="458" spans="10:13" ht="13" thickBot="1">
      <c r="J458" s="230" t="s">
        <v>1331</v>
      </c>
      <c r="M458" t="s">
        <v>1933</v>
      </c>
    </row>
    <row r="459" spans="10:13" ht="13" thickTop="1">
      <c r="J459" s="229" t="s">
        <v>1332</v>
      </c>
      <c r="M459" t="s">
        <v>1933</v>
      </c>
    </row>
    <row r="460" spans="10:13" ht="13" thickBot="1">
      <c r="J460" s="230" t="s">
        <v>601</v>
      </c>
      <c r="M460" t="s">
        <v>1933</v>
      </c>
    </row>
    <row r="461" spans="10:13" ht="13" thickTop="1">
      <c r="J461" s="229" t="s">
        <v>597</v>
      </c>
      <c r="M461" t="s">
        <v>1933</v>
      </c>
    </row>
    <row r="462" spans="10:13" ht="13" thickBot="1">
      <c r="J462" s="230" t="s">
        <v>2434</v>
      </c>
      <c r="M462" t="s">
        <v>1933</v>
      </c>
    </row>
    <row r="463" spans="10:13" ht="13" thickTop="1">
      <c r="J463" s="229" t="s">
        <v>1333</v>
      </c>
      <c r="M463" t="s">
        <v>1933</v>
      </c>
    </row>
    <row r="464" spans="10:13" ht="13" thickBot="1">
      <c r="J464" s="230" t="s">
        <v>1334</v>
      </c>
      <c r="M464" t="s">
        <v>1933</v>
      </c>
    </row>
    <row r="465" spans="10:13" ht="13" thickTop="1">
      <c r="J465" s="229" t="s">
        <v>1335</v>
      </c>
      <c r="M465" t="s">
        <v>1933</v>
      </c>
    </row>
    <row r="466" spans="10:13" ht="13" thickBot="1">
      <c r="J466" s="230" t="s">
        <v>1336</v>
      </c>
      <c r="M466" t="s">
        <v>1933</v>
      </c>
    </row>
    <row r="467" spans="10:13" ht="13" thickTop="1">
      <c r="J467" s="229" t="s">
        <v>1337</v>
      </c>
      <c r="M467" t="s">
        <v>1933</v>
      </c>
    </row>
    <row r="468" spans="10:13" ht="13" thickBot="1">
      <c r="J468" s="230" t="s">
        <v>1338</v>
      </c>
      <c r="M468" t="s">
        <v>1933</v>
      </c>
    </row>
    <row r="469" spans="10:13" ht="13" thickTop="1">
      <c r="J469" s="229" t="s">
        <v>1339</v>
      </c>
      <c r="M469" t="s">
        <v>1933</v>
      </c>
    </row>
    <row r="470" spans="10:13" ht="13" thickBot="1">
      <c r="J470" s="230" t="s">
        <v>1340</v>
      </c>
      <c r="M470" t="s">
        <v>1933</v>
      </c>
    </row>
    <row r="471" spans="10:13" ht="13" thickTop="1">
      <c r="J471" s="229" t="s">
        <v>1341</v>
      </c>
      <c r="M471" t="s">
        <v>1933</v>
      </c>
    </row>
    <row r="472" spans="10:13" ht="13" thickBot="1">
      <c r="J472" s="230" t="s">
        <v>1342</v>
      </c>
      <c r="M472" t="s">
        <v>1933</v>
      </c>
    </row>
    <row r="473" spans="10:13" ht="13" thickTop="1">
      <c r="J473" s="229" t="s">
        <v>1343</v>
      </c>
      <c r="M473" t="s">
        <v>1933</v>
      </c>
    </row>
    <row r="474" spans="10:13" ht="13" thickBot="1">
      <c r="J474" s="230" t="s">
        <v>1344</v>
      </c>
      <c r="M474" t="s">
        <v>1933</v>
      </c>
    </row>
    <row r="475" spans="10:13" ht="13" thickTop="1">
      <c r="J475" s="229" t="s">
        <v>2435</v>
      </c>
      <c r="M475" t="s">
        <v>1933</v>
      </c>
    </row>
    <row r="476" spans="10:13" ht="13" thickBot="1">
      <c r="J476" s="230" t="s">
        <v>2436</v>
      </c>
      <c r="M476" t="s">
        <v>1933</v>
      </c>
    </row>
    <row r="477" spans="10:13" ht="13" thickTop="1">
      <c r="J477" s="229" t="s">
        <v>1345</v>
      </c>
      <c r="M477" t="s">
        <v>1933</v>
      </c>
    </row>
    <row r="478" spans="10:13" ht="13" thickBot="1">
      <c r="J478" s="230" t="s">
        <v>1346</v>
      </c>
      <c r="M478" t="s">
        <v>1933</v>
      </c>
    </row>
    <row r="479" spans="10:13" ht="13" thickTop="1">
      <c r="J479" s="229" t="s">
        <v>1347</v>
      </c>
      <c r="M479" t="s">
        <v>1933</v>
      </c>
    </row>
    <row r="480" spans="10:13" ht="13" thickBot="1">
      <c r="J480" s="230" t="s">
        <v>1348</v>
      </c>
      <c r="M480" t="s">
        <v>1933</v>
      </c>
    </row>
    <row r="481" spans="10:13" ht="13" thickTop="1">
      <c r="J481" s="229" t="s">
        <v>1349</v>
      </c>
      <c r="M481" t="s">
        <v>1933</v>
      </c>
    </row>
    <row r="482" spans="10:13" ht="13" thickBot="1">
      <c r="J482" s="230" t="s">
        <v>1350</v>
      </c>
      <c r="M482" t="s">
        <v>1933</v>
      </c>
    </row>
    <row r="483" spans="10:13" ht="13" thickTop="1">
      <c r="J483" s="229" t="s">
        <v>1351</v>
      </c>
      <c r="M483" t="s">
        <v>1933</v>
      </c>
    </row>
    <row r="484" spans="10:13">
      <c r="J484" s="232" t="s">
        <v>1352</v>
      </c>
      <c r="M484" t="s">
        <v>1933</v>
      </c>
    </row>
    <row r="485" spans="10:13" ht="13" thickBot="1">
      <c r="J485" s="231" t="s">
        <v>1353</v>
      </c>
      <c r="M485" t="s">
        <v>1933</v>
      </c>
    </row>
    <row r="486" spans="10:13" ht="13" thickTop="1">
      <c r="J486" s="229" t="s">
        <v>1354</v>
      </c>
      <c r="M486" t="s">
        <v>1933</v>
      </c>
    </row>
    <row r="487" spans="10:13" ht="13" thickBot="1">
      <c r="J487" s="230" t="s">
        <v>1355</v>
      </c>
      <c r="M487" t="s">
        <v>1933</v>
      </c>
    </row>
    <row r="488" spans="10:13" ht="13" thickTop="1">
      <c r="J488" s="229" t="s">
        <v>2437</v>
      </c>
      <c r="M488" t="s">
        <v>1933</v>
      </c>
    </row>
    <row r="489" spans="10:13" ht="13" thickBot="1">
      <c r="J489" s="230" t="s">
        <v>1356</v>
      </c>
      <c r="M489" t="s">
        <v>1933</v>
      </c>
    </row>
    <row r="490" spans="10:13" ht="13" thickTop="1">
      <c r="J490" s="229" t="s">
        <v>1357</v>
      </c>
      <c r="M490" t="s">
        <v>1933</v>
      </c>
    </row>
    <row r="491" spans="10:13" ht="13" thickBot="1">
      <c r="J491" s="230" t="s">
        <v>1358</v>
      </c>
      <c r="M491" t="s">
        <v>1933</v>
      </c>
    </row>
    <row r="492" spans="10:13" ht="13" thickTop="1">
      <c r="J492" s="229" t="s">
        <v>629</v>
      </c>
      <c r="M492" t="s">
        <v>1933</v>
      </c>
    </row>
    <row r="493" spans="10:13" ht="13" thickBot="1">
      <c r="J493" s="230" t="s">
        <v>1359</v>
      </c>
      <c r="M493" t="s">
        <v>1933</v>
      </c>
    </row>
    <row r="494" spans="10:13" ht="13" thickTop="1">
      <c r="J494" s="229" t="s">
        <v>2438</v>
      </c>
      <c r="M494" t="s">
        <v>1933</v>
      </c>
    </row>
    <row r="495" spans="10:13" ht="13" thickBot="1">
      <c r="J495" s="230" t="s">
        <v>2439</v>
      </c>
      <c r="M495" t="s">
        <v>1933</v>
      </c>
    </row>
    <row r="496" spans="10:13" ht="13" thickTop="1">
      <c r="J496" s="229" t="s">
        <v>2440</v>
      </c>
      <c r="M496" t="s">
        <v>1933</v>
      </c>
    </row>
    <row r="497" spans="10:13" ht="13" thickBot="1">
      <c r="J497" s="230" t="s">
        <v>632</v>
      </c>
      <c r="M497" t="s">
        <v>1933</v>
      </c>
    </row>
    <row r="498" spans="10:13" ht="13" thickTop="1">
      <c r="J498" s="229" t="s">
        <v>1360</v>
      </c>
      <c r="M498" t="s">
        <v>1933</v>
      </c>
    </row>
    <row r="499" spans="10:13" ht="13" thickBot="1">
      <c r="J499" s="230" t="s">
        <v>1361</v>
      </c>
      <c r="M499" t="s">
        <v>1933</v>
      </c>
    </row>
    <row r="500" spans="10:13" ht="25.2" thickTop="1">
      <c r="J500" s="229" t="s">
        <v>647</v>
      </c>
      <c r="M500" t="s">
        <v>1933</v>
      </c>
    </row>
    <row r="501" spans="10:13" ht="13" thickBot="1">
      <c r="J501" s="230" t="s">
        <v>1362</v>
      </c>
      <c r="M501" t="s">
        <v>1933</v>
      </c>
    </row>
    <row r="502" spans="10:13" ht="13" thickTop="1">
      <c r="J502" s="229" t="s">
        <v>616</v>
      </c>
      <c r="M502" t="s">
        <v>1933</v>
      </c>
    </row>
    <row r="503" spans="10:13" ht="25.2" thickBot="1">
      <c r="J503" s="230" t="s">
        <v>648</v>
      </c>
      <c r="M503" t="s">
        <v>1933</v>
      </c>
    </row>
    <row r="504" spans="10:13" ht="25.2" thickTop="1">
      <c r="J504" s="229" t="s">
        <v>649</v>
      </c>
      <c r="M504" t="s">
        <v>1933</v>
      </c>
    </row>
    <row r="505" spans="10:13" ht="13" thickBot="1">
      <c r="J505" s="230" t="s">
        <v>595</v>
      </c>
      <c r="M505" t="s">
        <v>1933</v>
      </c>
    </row>
    <row r="506" spans="10:13" ht="13" thickTop="1">
      <c r="J506" s="229" t="s">
        <v>1363</v>
      </c>
      <c r="M506" t="s">
        <v>1933</v>
      </c>
    </row>
    <row r="507" spans="10:13" ht="13" thickBot="1">
      <c r="J507" s="230" t="s">
        <v>1364</v>
      </c>
      <c r="M507" t="s">
        <v>1933</v>
      </c>
    </row>
    <row r="508" spans="10:13" ht="13" thickTop="1">
      <c r="J508" s="229" t="s">
        <v>1365</v>
      </c>
      <c r="M508" t="s">
        <v>1933</v>
      </c>
    </row>
    <row r="509" spans="10:13" ht="13" thickBot="1">
      <c r="J509" s="230" t="s">
        <v>644</v>
      </c>
      <c r="M509" t="s">
        <v>1933</v>
      </c>
    </row>
    <row r="510" spans="10:13" ht="13" thickTop="1">
      <c r="J510" s="229" t="s">
        <v>646</v>
      </c>
      <c r="M510" t="s">
        <v>1933</v>
      </c>
    </row>
    <row r="511" spans="10:13" ht="13" thickBot="1">
      <c r="J511" s="230" t="s">
        <v>1366</v>
      </c>
      <c r="M511" t="s">
        <v>1933</v>
      </c>
    </row>
    <row r="512" spans="10:13" ht="13" thickTop="1">
      <c r="J512" s="229" t="s">
        <v>1367</v>
      </c>
      <c r="M512" t="s">
        <v>1933</v>
      </c>
    </row>
    <row r="513" spans="10:13" ht="13" thickBot="1">
      <c r="J513" s="230" t="s">
        <v>681</v>
      </c>
      <c r="M513" t="s">
        <v>1933</v>
      </c>
    </row>
    <row r="514" spans="10:13" ht="13" thickTop="1">
      <c r="J514" s="229" t="s">
        <v>641</v>
      </c>
      <c r="M514" t="s">
        <v>1933</v>
      </c>
    </row>
    <row r="515" spans="10:13" ht="13" thickBot="1">
      <c r="J515" s="230" t="s">
        <v>642</v>
      </c>
      <c r="M515" t="s">
        <v>1933</v>
      </c>
    </row>
    <row r="516" spans="10:13" ht="13" thickTop="1">
      <c r="J516" s="229" t="s">
        <v>643</v>
      </c>
      <c r="M516" t="s">
        <v>1933</v>
      </c>
    </row>
    <row r="517" spans="10:13" ht="13" thickBot="1">
      <c r="J517" s="231" t="s">
        <v>1368</v>
      </c>
      <c r="M517" t="s">
        <v>1933</v>
      </c>
    </row>
    <row r="518" spans="10:13" ht="13" thickTop="1">
      <c r="J518" s="229" t="s">
        <v>1369</v>
      </c>
      <c r="M518" t="s">
        <v>1933</v>
      </c>
    </row>
    <row r="519" spans="10:13">
      <c r="J519" s="232" t="s">
        <v>2441</v>
      </c>
      <c r="M519" t="s">
        <v>1933</v>
      </c>
    </row>
    <row r="520" spans="10:13" ht="13" thickBot="1">
      <c r="J520" s="231" t="s">
        <v>1370</v>
      </c>
      <c r="M520" t="s">
        <v>1933</v>
      </c>
    </row>
    <row r="521" spans="10:13" ht="13" thickTop="1">
      <c r="J521" s="229" t="s">
        <v>1371</v>
      </c>
      <c r="M521" t="s">
        <v>1933</v>
      </c>
    </row>
    <row r="522" spans="10:13" ht="13" thickBot="1">
      <c r="J522" s="230" t="s">
        <v>627</v>
      </c>
      <c r="M522" t="s">
        <v>1933</v>
      </c>
    </row>
    <row r="523" spans="10:13" ht="13" thickTop="1">
      <c r="J523" s="229" t="s">
        <v>1372</v>
      </c>
      <c r="M523" t="s">
        <v>1933</v>
      </c>
    </row>
    <row r="524" spans="10:13" ht="13" thickBot="1">
      <c r="J524" s="230" t="s">
        <v>682</v>
      </c>
      <c r="M524" t="s">
        <v>1933</v>
      </c>
    </row>
    <row r="525" spans="10:13" ht="13" thickTop="1">
      <c r="J525" s="229" t="s">
        <v>594</v>
      </c>
      <c r="M525" t="s">
        <v>1933</v>
      </c>
    </row>
    <row r="526" spans="10:13" ht="13" thickBot="1">
      <c r="J526" s="230" t="s">
        <v>1373</v>
      </c>
      <c r="M526" t="s">
        <v>1933</v>
      </c>
    </row>
    <row r="527" spans="10:13" ht="13" thickTop="1">
      <c r="J527" s="229" t="s">
        <v>2442</v>
      </c>
      <c r="M527" t="s">
        <v>1933</v>
      </c>
    </row>
    <row r="528" spans="10:13" ht="13" thickBot="1">
      <c r="J528" s="230" t="s">
        <v>1374</v>
      </c>
      <c r="M528" t="s">
        <v>1933</v>
      </c>
    </row>
    <row r="529" spans="10:13" ht="13" thickTop="1">
      <c r="J529" s="229" t="s">
        <v>1375</v>
      </c>
      <c r="M529" t="s">
        <v>1933</v>
      </c>
    </row>
    <row r="530" spans="10:13" ht="13" thickBot="1">
      <c r="J530" s="230" t="s">
        <v>2443</v>
      </c>
      <c r="M530" t="s">
        <v>1933</v>
      </c>
    </row>
    <row r="531" spans="10:13" ht="13" thickTop="1">
      <c r="J531" s="229" t="s">
        <v>1376</v>
      </c>
      <c r="M531" t="s">
        <v>1933</v>
      </c>
    </row>
    <row r="532" spans="10:13" ht="13" thickBot="1">
      <c r="J532" s="230" t="s">
        <v>2444</v>
      </c>
      <c r="M532" t="s">
        <v>1933</v>
      </c>
    </row>
    <row r="533" spans="10:13" ht="13" thickTop="1">
      <c r="J533" s="229" t="s">
        <v>1377</v>
      </c>
      <c r="M533" t="s">
        <v>1933</v>
      </c>
    </row>
    <row r="534" spans="10:13" ht="13" thickBot="1">
      <c r="J534" s="230" t="s">
        <v>1378</v>
      </c>
      <c r="M534" t="s">
        <v>1933</v>
      </c>
    </row>
    <row r="535" spans="10:13" ht="13" thickTop="1">
      <c r="J535" s="229" t="s">
        <v>1379</v>
      </c>
      <c r="M535" t="s">
        <v>1933</v>
      </c>
    </row>
    <row r="536" spans="10:13" ht="13" thickBot="1">
      <c r="J536" s="230" t="s">
        <v>1380</v>
      </c>
      <c r="M536" t="s">
        <v>1933</v>
      </c>
    </row>
    <row r="537" spans="10:13" ht="13" thickTop="1">
      <c r="J537" s="229" t="s">
        <v>1381</v>
      </c>
      <c r="M537" t="s">
        <v>1933</v>
      </c>
    </row>
    <row r="538" spans="10:13" ht="13" thickBot="1">
      <c r="J538" s="230" t="s">
        <v>1382</v>
      </c>
      <c r="M538" t="s">
        <v>1933</v>
      </c>
    </row>
    <row r="539" spans="10:13" ht="13" thickTop="1">
      <c r="J539" s="229" t="s">
        <v>1383</v>
      </c>
      <c r="M539" t="s">
        <v>1933</v>
      </c>
    </row>
    <row r="540" spans="10:13" ht="13" thickBot="1">
      <c r="J540" s="230" t="s">
        <v>2445</v>
      </c>
      <c r="M540" t="s">
        <v>1933</v>
      </c>
    </row>
    <row r="541" spans="10:13" ht="13" thickTop="1">
      <c r="J541" s="229" t="s">
        <v>1384</v>
      </c>
      <c r="M541" t="s">
        <v>1933</v>
      </c>
    </row>
    <row r="542" spans="10:13" ht="13" thickBot="1">
      <c r="J542" s="230" t="s">
        <v>1385</v>
      </c>
      <c r="M542" t="s">
        <v>1933</v>
      </c>
    </row>
    <row r="543" spans="10:13" ht="13" thickTop="1">
      <c r="J543" s="229" t="s">
        <v>1386</v>
      </c>
      <c r="M543" t="s">
        <v>1933</v>
      </c>
    </row>
    <row r="544" spans="10:13">
      <c r="J544" s="232" t="s">
        <v>2446</v>
      </c>
      <c r="M544" t="s">
        <v>1933</v>
      </c>
    </row>
    <row r="545" spans="10:13" ht="13" thickBot="1">
      <c r="J545" s="231" t="s">
        <v>1387</v>
      </c>
      <c r="M545" t="s">
        <v>1933</v>
      </c>
    </row>
    <row r="546" spans="10:13" ht="13" thickTop="1">
      <c r="J546" s="229" t="s">
        <v>1388</v>
      </c>
      <c r="M546" t="s">
        <v>1933</v>
      </c>
    </row>
    <row r="547" spans="10:13" ht="13" thickBot="1">
      <c r="J547" s="230" t="s">
        <v>1389</v>
      </c>
      <c r="M547" t="s">
        <v>1933</v>
      </c>
    </row>
    <row r="548" spans="10:13" ht="13" thickTop="1">
      <c r="J548" s="229" t="s">
        <v>561</v>
      </c>
      <c r="M548" t="s">
        <v>1933</v>
      </c>
    </row>
    <row r="549" spans="10:13" ht="13" thickBot="1">
      <c r="J549" s="230" t="s">
        <v>1390</v>
      </c>
      <c r="M549" t="s">
        <v>1933</v>
      </c>
    </row>
    <row r="550" spans="10:13" ht="13" thickTop="1">
      <c r="J550" s="229" t="s">
        <v>1391</v>
      </c>
      <c r="M550" t="s">
        <v>1933</v>
      </c>
    </row>
    <row r="551" spans="10:13" ht="13" thickBot="1">
      <c r="J551" s="230" t="s">
        <v>1392</v>
      </c>
      <c r="M551" t="s">
        <v>1933</v>
      </c>
    </row>
    <row r="552" spans="10:13" ht="13" thickTop="1">
      <c r="J552" s="229" t="s">
        <v>1393</v>
      </c>
      <c r="M552" t="s">
        <v>1933</v>
      </c>
    </row>
    <row r="553" spans="10:13" ht="13" thickBot="1">
      <c r="J553" s="230" t="s">
        <v>1394</v>
      </c>
      <c r="M553" t="s">
        <v>1933</v>
      </c>
    </row>
    <row r="554" spans="10:13" ht="13" thickTop="1">
      <c r="J554" s="229" t="s">
        <v>1395</v>
      </c>
      <c r="M554" t="s">
        <v>1933</v>
      </c>
    </row>
    <row r="555" spans="10:13" ht="13" thickBot="1">
      <c r="J555" s="230" t="s">
        <v>1396</v>
      </c>
      <c r="M555" t="s">
        <v>1933</v>
      </c>
    </row>
    <row r="556" spans="10:13" ht="13" thickTop="1">
      <c r="J556" s="229" t="s">
        <v>1397</v>
      </c>
      <c r="M556" t="s">
        <v>1933</v>
      </c>
    </row>
    <row r="557" spans="10:13" ht="13" thickBot="1">
      <c r="J557" s="230" t="s">
        <v>1398</v>
      </c>
      <c r="M557" t="s">
        <v>1933</v>
      </c>
    </row>
    <row r="558" spans="10:13" ht="13" thickTop="1">
      <c r="J558" s="229" t="s">
        <v>1399</v>
      </c>
      <c r="M558" t="s">
        <v>1933</v>
      </c>
    </row>
    <row r="559" spans="10:13" ht="13" thickBot="1">
      <c r="J559" s="230" t="s">
        <v>1400</v>
      </c>
      <c r="M559" t="s">
        <v>1933</v>
      </c>
    </row>
    <row r="560" spans="10:13" ht="13" thickTop="1">
      <c r="J560" s="229" t="s">
        <v>1401</v>
      </c>
      <c r="M560" t="s">
        <v>1933</v>
      </c>
    </row>
    <row r="561" spans="10:13" ht="13" thickBot="1">
      <c r="J561" s="230" t="s">
        <v>1402</v>
      </c>
      <c r="M561" t="s">
        <v>1933</v>
      </c>
    </row>
    <row r="562" spans="10:13" ht="13" thickTop="1">
      <c r="J562" s="229" t="s">
        <v>1403</v>
      </c>
      <c r="M562" t="s">
        <v>1933</v>
      </c>
    </row>
    <row r="563" spans="10:13" ht="13" thickBot="1">
      <c r="J563" s="230" t="s">
        <v>1404</v>
      </c>
      <c r="M563" t="s">
        <v>1933</v>
      </c>
    </row>
    <row r="564" spans="10:13" ht="13" thickTop="1">
      <c r="J564" s="229" t="s">
        <v>660</v>
      </c>
      <c r="M564" t="s">
        <v>1933</v>
      </c>
    </row>
    <row r="565" spans="10:13" ht="13" thickBot="1">
      <c r="J565" s="230" t="s">
        <v>1405</v>
      </c>
      <c r="M565" t="s">
        <v>1933</v>
      </c>
    </row>
    <row r="566" spans="10:13" ht="13" thickTop="1">
      <c r="J566" s="229" t="s">
        <v>659</v>
      </c>
      <c r="M566" t="s">
        <v>1933</v>
      </c>
    </row>
    <row r="567" spans="10:13" ht="13" thickBot="1">
      <c r="J567" s="230" t="s">
        <v>1406</v>
      </c>
      <c r="M567" t="s">
        <v>1933</v>
      </c>
    </row>
    <row r="568" spans="10:13" ht="13" thickTop="1">
      <c r="J568" s="229" t="s">
        <v>658</v>
      </c>
      <c r="M568" t="s">
        <v>1933</v>
      </c>
    </row>
    <row r="569" spans="10:13" ht="13" thickBot="1">
      <c r="J569" s="230" t="s">
        <v>1407</v>
      </c>
      <c r="M569" t="s">
        <v>1933</v>
      </c>
    </row>
    <row r="570" spans="10:13" ht="13" thickTop="1">
      <c r="J570" s="229" t="s">
        <v>651</v>
      </c>
      <c r="M570" t="s">
        <v>1933</v>
      </c>
    </row>
    <row r="571" spans="10:13" ht="13" thickBot="1">
      <c r="J571" s="230" t="s">
        <v>652</v>
      </c>
      <c r="M571" t="s">
        <v>1933</v>
      </c>
    </row>
    <row r="572" spans="10:13" ht="13" thickTop="1">
      <c r="J572" s="229" t="s">
        <v>1408</v>
      </c>
      <c r="M572" t="s">
        <v>1933</v>
      </c>
    </row>
    <row r="573" spans="10:13" ht="13" thickBot="1">
      <c r="J573" s="230" t="s">
        <v>650</v>
      </c>
      <c r="M573" t="s">
        <v>1933</v>
      </c>
    </row>
    <row r="574" spans="10:13" ht="13" thickTop="1">
      <c r="J574" s="229" t="s">
        <v>598</v>
      </c>
      <c r="M574" t="s">
        <v>1933</v>
      </c>
    </row>
    <row r="575" spans="10:13" ht="13" thickBot="1">
      <c r="J575" s="230" t="s">
        <v>661</v>
      </c>
      <c r="M575" t="s">
        <v>1933</v>
      </c>
    </row>
    <row r="576" spans="10:13" ht="13" thickTop="1">
      <c r="J576" s="229" t="s">
        <v>1409</v>
      </c>
      <c r="M576" t="s">
        <v>1933</v>
      </c>
    </row>
    <row r="577" spans="10:13" ht="13" thickBot="1">
      <c r="J577" s="230" t="s">
        <v>653</v>
      </c>
      <c r="M577" t="s">
        <v>1933</v>
      </c>
    </row>
    <row r="578" spans="10:13" ht="13" thickTop="1">
      <c r="J578" s="229" t="s">
        <v>2447</v>
      </c>
      <c r="M578" t="s">
        <v>1933</v>
      </c>
    </row>
    <row r="579" spans="10:13" ht="13" thickBot="1">
      <c r="J579" s="230" t="s">
        <v>2448</v>
      </c>
      <c r="M579" t="s">
        <v>1933</v>
      </c>
    </row>
    <row r="580" spans="10:13" ht="13" thickTop="1">
      <c r="J580" s="229" t="s">
        <v>654</v>
      </c>
      <c r="M580" t="s">
        <v>1933</v>
      </c>
    </row>
    <row r="581" spans="10:13" ht="13" thickBot="1">
      <c r="J581" s="230" t="s">
        <v>2449</v>
      </c>
      <c r="M581" t="s">
        <v>1933</v>
      </c>
    </row>
    <row r="582" spans="10:13" ht="13" thickTop="1">
      <c r="J582" s="229" t="s">
        <v>2450</v>
      </c>
      <c r="M582" t="s">
        <v>1933</v>
      </c>
    </row>
    <row r="583" spans="10:13" ht="13" thickBot="1">
      <c r="J583" s="230" t="s">
        <v>2451</v>
      </c>
      <c r="M583" t="s">
        <v>1933</v>
      </c>
    </row>
    <row r="584" spans="10:13" ht="13" thickTop="1">
      <c r="J584" s="229" t="s">
        <v>2452</v>
      </c>
      <c r="M584" t="s">
        <v>1933</v>
      </c>
    </row>
    <row r="585" spans="10:13" ht="13" thickBot="1">
      <c r="J585" s="230" t="s">
        <v>665</v>
      </c>
      <c r="M585" t="s">
        <v>1933</v>
      </c>
    </row>
    <row r="586" spans="10:13" ht="13" thickTop="1">
      <c r="J586" s="229" t="s">
        <v>664</v>
      </c>
      <c r="M586" t="s">
        <v>1933</v>
      </c>
    </row>
    <row r="587" spans="10:13" ht="13" thickBot="1">
      <c r="J587" s="230" t="s">
        <v>634</v>
      </c>
      <c r="M587" t="s">
        <v>1933</v>
      </c>
    </row>
    <row r="588" spans="10:13" ht="13" thickTop="1">
      <c r="J588" s="229" t="s">
        <v>1410</v>
      </c>
      <c r="M588" t="s">
        <v>1933</v>
      </c>
    </row>
    <row r="589" spans="10:13" ht="13" thickBot="1">
      <c r="J589" s="230" t="s">
        <v>1411</v>
      </c>
      <c r="M589" t="s">
        <v>1933</v>
      </c>
    </row>
    <row r="590" spans="10:13" ht="13" thickTop="1">
      <c r="J590" s="229" t="s">
        <v>1412</v>
      </c>
      <c r="M590" t="s">
        <v>1933</v>
      </c>
    </row>
    <row r="591" spans="10:13" ht="13" thickBot="1">
      <c r="J591" s="230" t="s">
        <v>635</v>
      </c>
      <c r="M591" t="s">
        <v>1933</v>
      </c>
    </row>
    <row r="592" spans="10:13" ht="13" thickTop="1">
      <c r="J592" s="229" t="s">
        <v>636</v>
      </c>
      <c r="M592" t="s">
        <v>1933</v>
      </c>
    </row>
    <row r="593" spans="10:13" ht="13" thickBot="1">
      <c r="J593" s="230" t="s">
        <v>638</v>
      </c>
      <c r="M593" t="s">
        <v>1933</v>
      </c>
    </row>
    <row r="594" spans="10:13" ht="13" thickTop="1">
      <c r="J594" s="229" t="s">
        <v>637</v>
      </c>
      <c r="M594" t="s">
        <v>1933</v>
      </c>
    </row>
    <row r="595" spans="10:13" ht="13" thickBot="1">
      <c r="J595" s="230" t="s">
        <v>2453</v>
      </c>
      <c r="M595" t="s">
        <v>1933</v>
      </c>
    </row>
    <row r="596" spans="10:13" ht="13" thickTop="1">
      <c r="J596" s="229" t="s">
        <v>2454</v>
      </c>
      <c r="M596" t="s">
        <v>1933</v>
      </c>
    </row>
    <row r="597" spans="10:13" ht="13" thickBot="1">
      <c r="J597" s="230" t="s">
        <v>640</v>
      </c>
      <c r="M597" t="s">
        <v>1933</v>
      </c>
    </row>
    <row r="598" spans="10:13" ht="13" thickTop="1">
      <c r="J598" s="229" t="s">
        <v>2455</v>
      </c>
      <c r="M598" t="s">
        <v>1921</v>
      </c>
    </row>
    <row r="599" spans="10:13" ht="13" thickBot="1">
      <c r="J599" s="230" t="s">
        <v>676</v>
      </c>
      <c r="M599" t="s">
        <v>1921</v>
      </c>
    </row>
    <row r="600" spans="10:13" ht="13" thickTop="1">
      <c r="J600" s="229" t="s">
        <v>2456</v>
      </c>
      <c r="M600" t="s">
        <v>1921</v>
      </c>
    </row>
    <row r="601" spans="10:13" ht="13" thickBot="1">
      <c r="J601" s="230" t="s">
        <v>2457</v>
      </c>
      <c r="M601" t="s">
        <v>1921</v>
      </c>
    </row>
    <row r="602" spans="10:13" ht="13" thickTop="1">
      <c r="J602" s="229" t="s">
        <v>2458</v>
      </c>
      <c r="M602" t="s">
        <v>1921</v>
      </c>
    </row>
    <row r="603" spans="10:13" ht="13" thickBot="1">
      <c r="J603" s="230" t="s">
        <v>670</v>
      </c>
      <c r="M603" t="s">
        <v>1921</v>
      </c>
    </row>
    <row r="604" spans="10:13" ht="13" thickTop="1">
      <c r="J604" s="229" t="s">
        <v>2459</v>
      </c>
      <c r="M604" t="s">
        <v>1921</v>
      </c>
    </row>
    <row r="605" spans="10:13" ht="13" thickBot="1">
      <c r="J605" s="230" t="s">
        <v>2460</v>
      </c>
      <c r="M605" t="s">
        <v>1921</v>
      </c>
    </row>
    <row r="606" spans="10:13" ht="13" thickTop="1">
      <c r="J606" s="229" t="s">
        <v>2461</v>
      </c>
      <c r="M606" t="s">
        <v>1921</v>
      </c>
    </row>
    <row r="607" spans="10:13" ht="13" thickBot="1">
      <c r="J607" s="230" t="s">
        <v>2197</v>
      </c>
      <c r="M607" t="s">
        <v>1921</v>
      </c>
    </row>
    <row r="608" spans="10:13" ht="13" thickTop="1">
      <c r="J608" s="229" t="s">
        <v>673</v>
      </c>
      <c r="M608" t="s">
        <v>1921</v>
      </c>
    </row>
    <row r="609" spans="10:13" ht="13" thickBot="1">
      <c r="J609" s="230" t="s">
        <v>1413</v>
      </c>
      <c r="M609" t="s">
        <v>1921</v>
      </c>
    </row>
    <row r="610" spans="10:13" ht="13" thickTop="1">
      <c r="J610" s="229" t="s">
        <v>679</v>
      </c>
      <c r="M610" t="s">
        <v>1921</v>
      </c>
    </row>
    <row r="611" spans="10:13" ht="13" thickBot="1">
      <c r="J611" s="230" t="s">
        <v>678</v>
      </c>
      <c r="M611" t="s">
        <v>1921</v>
      </c>
    </row>
    <row r="612" spans="10:13" ht="25.2" thickTop="1">
      <c r="J612" s="229" t="s">
        <v>1414</v>
      </c>
      <c r="M612" t="s">
        <v>1921</v>
      </c>
    </row>
    <row r="613" spans="10:13" ht="25.2" thickBot="1">
      <c r="J613" s="230" t="s">
        <v>1415</v>
      </c>
      <c r="M613" t="s">
        <v>1921</v>
      </c>
    </row>
    <row r="614" spans="10:13" ht="13" thickTop="1">
      <c r="J614" s="229" t="s">
        <v>1416</v>
      </c>
      <c r="M614" t="s">
        <v>1921</v>
      </c>
    </row>
    <row r="615" spans="10:13" ht="13" thickBot="1">
      <c r="J615" s="230" t="s">
        <v>1417</v>
      </c>
      <c r="M615" t="s">
        <v>1921</v>
      </c>
    </row>
    <row r="616" spans="10:13" ht="13" thickTop="1">
      <c r="J616" s="229" t="s">
        <v>1418</v>
      </c>
      <c r="M616" t="s">
        <v>1921</v>
      </c>
    </row>
    <row r="617" spans="10:13" ht="13" thickBot="1">
      <c r="J617" s="230" t="s">
        <v>1419</v>
      </c>
      <c r="M617" t="s">
        <v>1921</v>
      </c>
    </row>
    <row r="618" spans="10:13" ht="13" thickTop="1">
      <c r="J618" s="229" t="s">
        <v>1420</v>
      </c>
      <c r="M618" t="s">
        <v>1921</v>
      </c>
    </row>
    <row r="619" spans="10:13" ht="13" thickBot="1">
      <c r="J619" s="230" t="s">
        <v>2462</v>
      </c>
      <c r="M619" t="s">
        <v>1921</v>
      </c>
    </row>
    <row r="620" spans="10:13" ht="13" thickTop="1">
      <c r="J620" s="229" t="s">
        <v>2463</v>
      </c>
      <c r="M620" t="s">
        <v>1933</v>
      </c>
    </row>
    <row r="621" spans="10:13" ht="13" thickBot="1">
      <c r="J621" s="230" t="s">
        <v>1421</v>
      </c>
      <c r="M621" t="s">
        <v>1933</v>
      </c>
    </row>
    <row r="622" spans="10:13" ht="13" thickTop="1">
      <c r="J622" s="229" t="s">
        <v>1422</v>
      </c>
      <c r="M622" t="s">
        <v>1933</v>
      </c>
    </row>
    <row r="623" spans="10:13" ht="13" thickBot="1">
      <c r="J623" s="230" t="s">
        <v>1423</v>
      </c>
      <c r="M623" t="s">
        <v>1933</v>
      </c>
    </row>
    <row r="624" spans="10:13" ht="13" thickTop="1">
      <c r="J624" s="229" t="s">
        <v>1424</v>
      </c>
      <c r="M624" t="s">
        <v>1933</v>
      </c>
    </row>
    <row r="625" spans="10:13" ht="13" thickBot="1">
      <c r="J625" s="230" t="s">
        <v>1425</v>
      </c>
      <c r="M625" t="s">
        <v>1933</v>
      </c>
    </row>
    <row r="626" spans="10:13" ht="13" thickTop="1">
      <c r="J626" s="229" t="s">
        <v>1426</v>
      </c>
      <c r="M626" t="s">
        <v>1933</v>
      </c>
    </row>
    <row r="627" spans="10:13" ht="13" thickBot="1">
      <c r="J627" s="230" t="s">
        <v>1427</v>
      </c>
      <c r="M627" t="s">
        <v>1933</v>
      </c>
    </row>
    <row r="628" spans="10:13" ht="13" thickTop="1">
      <c r="J628" s="229" t="s">
        <v>1428</v>
      </c>
      <c r="M628" t="s">
        <v>1933</v>
      </c>
    </row>
    <row r="629" spans="10:13" ht="13" thickBot="1">
      <c r="J629" s="230" t="s">
        <v>1429</v>
      </c>
      <c r="M629" t="s">
        <v>1933</v>
      </c>
    </row>
    <row r="630" spans="10:13" ht="13" thickTop="1">
      <c r="J630" s="229" t="s">
        <v>1430</v>
      </c>
      <c r="M630" t="s">
        <v>1933</v>
      </c>
    </row>
    <row r="631" spans="10:13" ht="13" thickBot="1">
      <c r="J631" s="230" t="s">
        <v>1431</v>
      </c>
      <c r="M631" t="s">
        <v>1933</v>
      </c>
    </row>
    <row r="632" spans="10:13" ht="13" thickTop="1">
      <c r="J632" s="229" t="s">
        <v>1432</v>
      </c>
      <c r="M632" t="s">
        <v>1933</v>
      </c>
    </row>
    <row r="633" spans="10:13" ht="13" thickBot="1">
      <c r="J633" s="230" t="s">
        <v>1433</v>
      </c>
      <c r="M633" t="s">
        <v>1933</v>
      </c>
    </row>
    <row r="634" spans="10:13" ht="13" thickTop="1">
      <c r="J634" s="229" t="s">
        <v>1434</v>
      </c>
      <c r="M634" t="s">
        <v>1933</v>
      </c>
    </row>
    <row r="635" spans="10:13" ht="13" thickBot="1">
      <c r="J635" s="230" t="s">
        <v>1435</v>
      </c>
      <c r="M635" t="s">
        <v>1933</v>
      </c>
    </row>
    <row r="636" spans="10:13" ht="13" thickTop="1">
      <c r="J636" s="229" t="s">
        <v>1436</v>
      </c>
      <c r="M636" t="s">
        <v>1933</v>
      </c>
    </row>
    <row r="637" spans="10:13" ht="13" thickBot="1">
      <c r="J637" s="230" t="s">
        <v>1437</v>
      </c>
      <c r="M637" t="s">
        <v>1933</v>
      </c>
    </row>
    <row r="638" spans="10:13" ht="13" thickTop="1">
      <c r="J638" s="229" t="s">
        <v>1438</v>
      </c>
      <c r="M638" t="s">
        <v>1933</v>
      </c>
    </row>
    <row r="639" spans="10:13" ht="13" thickBot="1">
      <c r="J639" s="230" t="s">
        <v>2464</v>
      </c>
      <c r="M639" t="s">
        <v>1933</v>
      </c>
    </row>
    <row r="640" spans="10:13" ht="13" thickTop="1">
      <c r="J640" s="229" t="s">
        <v>1439</v>
      </c>
      <c r="M640" t="s">
        <v>1933</v>
      </c>
    </row>
    <row r="641" spans="10:13" ht="13" thickBot="1">
      <c r="J641" s="230" t="s">
        <v>1440</v>
      </c>
      <c r="M641" t="s">
        <v>1933</v>
      </c>
    </row>
    <row r="642" spans="10:13" ht="13" thickTop="1">
      <c r="J642" s="229" t="s">
        <v>1441</v>
      </c>
      <c r="M642" t="s">
        <v>1933</v>
      </c>
    </row>
    <row r="643" spans="10:13" ht="13" thickBot="1">
      <c r="J643" s="230" t="s">
        <v>1442</v>
      </c>
      <c r="M643" t="s">
        <v>1933</v>
      </c>
    </row>
    <row r="644" spans="10:13" ht="13" thickTop="1">
      <c r="J644" s="229" t="s">
        <v>1443</v>
      </c>
      <c r="M644" t="s">
        <v>1933</v>
      </c>
    </row>
    <row r="645" spans="10:13" ht="13" thickBot="1">
      <c r="J645" s="230" t="s">
        <v>2465</v>
      </c>
      <c r="M645" t="s">
        <v>1933</v>
      </c>
    </row>
    <row r="646" spans="10:13" ht="13" thickTop="1">
      <c r="J646" s="229" t="s">
        <v>1444</v>
      </c>
      <c r="M646" t="s">
        <v>1933</v>
      </c>
    </row>
    <row r="647" spans="10:13" ht="13" thickBot="1">
      <c r="J647" s="230" t="s">
        <v>1445</v>
      </c>
      <c r="M647" t="s">
        <v>1933</v>
      </c>
    </row>
    <row r="648" spans="10:13" ht="13" thickTop="1">
      <c r="J648" s="229" t="s">
        <v>1446</v>
      </c>
      <c r="M648" t="s">
        <v>1933</v>
      </c>
    </row>
    <row r="649" spans="10:13" ht="13" thickBot="1">
      <c r="J649" s="230" t="s">
        <v>2466</v>
      </c>
      <c r="M649" t="s">
        <v>1933</v>
      </c>
    </row>
    <row r="650" spans="10:13" ht="13" thickTop="1">
      <c r="J650" s="229" t="s">
        <v>1447</v>
      </c>
      <c r="M650" t="s">
        <v>1933</v>
      </c>
    </row>
    <row r="651" spans="10:13" ht="13" thickBot="1">
      <c r="J651" s="230" t="s">
        <v>1448</v>
      </c>
      <c r="M651" t="s">
        <v>1933</v>
      </c>
    </row>
    <row r="652" spans="10:13" ht="13" thickTop="1">
      <c r="J652" s="229" t="s">
        <v>1449</v>
      </c>
      <c r="M652" t="s">
        <v>1933</v>
      </c>
    </row>
    <row r="653" spans="10:13" ht="13" thickBot="1">
      <c r="J653" s="230" t="s">
        <v>1450</v>
      </c>
      <c r="M653" t="s">
        <v>1933</v>
      </c>
    </row>
    <row r="654" spans="10:13" ht="13" thickTop="1">
      <c r="J654" s="229" t="s">
        <v>1451</v>
      </c>
      <c r="M654" t="s">
        <v>1933</v>
      </c>
    </row>
    <row r="655" spans="10:13" ht="13" thickBot="1">
      <c r="J655" s="230" t="s">
        <v>1452</v>
      </c>
      <c r="M655" t="s">
        <v>1933</v>
      </c>
    </row>
    <row r="656" spans="10:13" ht="13" thickTop="1">
      <c r="J656" s="229" t="s">
        <v>2467</v>
      </c>
      <c r="M656" t="s">
        <v>1933</v>
      </c>
    </row>
    <row r="657" spans="10:13" ht="13" thickBot="1">
      <c r="J657" s="230" t="s">
        <v>1453</v>
      </c>
      <c r="M657" t="s">
        <v>1933</v>
      </c>
    </row>
    <row r="658" spans="10:13" ht="13" thickTop="1">
      <c r="J658" s="229" t="s">
        <v>1454</v>
      </c>
      <c r="M658" t="s">
        <v>1933</v>
      </c>
    </row>
    <row r="659" spans="10:13" ht="13" thickBot="1">
      <c r="J659" s="230" t="s">
        <v>1455</v>
      </c>
      <c r="M659" t="s">
        <v>1933</v>
      </c>
    </row>
    <row r="660" spans="10:13" ht="13" thickTop="1">
      <c r="J660" s="229" t="s">
        <v>1456</v>
      </c>
      <c r="M660" t="s">
        <v>1933</v>
      </c>
    </row>
    <row r="661" spans="10:13" ht="13" thickBot="1">
      <c r="J661" s="230" t="s">
        <v>1457</v>
      </c>
      <c r="M661" t="s">
        <v>1933</v>
      </c>
    </row>
    <row r="662" spans="10:13" ht="13" thickTop="1">
      <c r="J662" s="229" t="s">
        <v>611</v>
      </c>
      <c r="M662" t="s">
        <v>1933</v>
      </c>
    </row>
    <row r="663" spans="10:13" ht="13" thickBot="1">
      <c r="J663" s="230" t="s">
        <v>1458</v>
      </c>
      <c r="M663" t="s">
        <v>1933</v>
      </c>
    </row>
    <row r="664" spans="10:13" ht="13" thickTop="1">
      <c r="J664" s="229" t="s">
        <v>1459</v>
      </c>
      <c r="M664" t="s">
        <v>1933</v>
      </c>
    </row>
    <row r="665" spans="10:13" ht="13" thickBot="1">
      <c r="J665" s="230" t="s">
        <v>569</v>
      </c>
      <c r="M665" t="s">
        <v>1933</v>
      </c>
    </row>
    <row r="666" spans="10:13" ht="13" thickTop="1">
      <c r="J666" s="229" t="s">
        <v>1460</v>
      </c>
      <c r="M666" t="s">
        <v>1933</v>
      </c>
    </row>
    <row r="667" spans="10:13" ht="13" thickBot="1">
      <c r="J667" s="230" t="s">
        <v>541</v>
      </c>
      <c r="M667" t="s">
        <v>1933</v>
      </c>
    </row>
    <row r="668" spans="10:13" ht="13" thickTop="1">
      <c r="J668" s="229" t="s">
        <v>1461</v>
      </c>
      <c r="M668" t="s">
        <v>1933</v>
      </c>
    </row>
    <row r="669" spans="10:13" ht="13" thickBot="1">
      <c r="J669" s="230" t="s">
        <v>1462</v>
      </c>
      <c r="M669" t="s">
        <v>1933</v>
      </c>
    </row>
    <row r="670" spans="10:13" ht="13" thickTop="1">
      <c r="J670" s="229" t="s">
        <v>2234</v>
      </c>
      <c r="M670" t="s">
        <v>1933</v>
      </c>
    </row>
    <row r="671" spans="10:13" ht="13" thickBot="1">
      <c r="J671" s="230" t="s">
        <v>1463</v>
      </c>
      <c r="M671" t="s">
        <v>1933</v>
      </c>
    </row>
    <row r="672" spans="10:13" ht="13" thickTop="1">
      <c r="J672" s="229" t="s">
        <v>2468</v>
      </c>
      <c r="M672" t="s">
        <v>1933</v>
      </c>
    </row>
    <row r="673" spans="10:13" ht="13" thickBot="1">
      <c r="J673" s="230" t="s">
        <v>605</v>
      </c>
      <c r="M673" t="s">
        <v>1933</v>
      </c>
    </row>
    <row r="674" spans="10:13" ht="13" thickTop="1">
      <c r="J674" s="229" t="s">
        <v>1464</v>
      </c>
      <c r="M674" t="s">
        <v>1933</v>
      </c>
    </row>
    <row r="675" spans="10:13" ht="13" thickBot="1">
      <c r="J675" s="230" t="s">
        <v>1465</v>
      </c>
      <c r="M675" t="s">
        <v>1933</v>
      </c>
    </row>
    <row r="676" spans="10:13" ht="13" thickTop="1">
      <c r="J676" s="229" t="s">
        <v>1466</v>
      </c>
      <c r="M676" t="s">
        <v>1933</v>
      </c>
    </row>
    <row r="677" spans="10:13" ht="13" thickBot="1">
      <c r="J677" s="230" t="s">
        <v>1467</v>
      </c>
      <c r="M677" t="s">
        <v>1933</v>
      </c>
    </row>
    <row r="678" spans="10:13" ht="13" thickTop="1">
      <c r="J678" s="229" t="s">
        <v>1468</v>
      </c>
      <c r="M678" t="s">
        <v>1933</v>
      </c>
    </row>
    <row r="679" spans="10:13" ht="13" thickBot="1">
      <c r="J679" s="230" t="s">
        <v>1469</v>
      </c>
      <c r="M679" t="s">
        <v>1933</v>
      </c>
    </row>
    <row r="680" spans="10:13" ht="13" thickTop="1">
      <c r="J680" s="229" t="s">
        <v>1470</v>
      </c>
      <c r="M680" t="s">
        <v>1933</v>
      </c>
    </row>
    <row r="681" spans="10:13" ht="13" thickBot="1">
      <c r="J681" s="230" t="s">
        <v>1471</v>
      </c>
      <c r="M681" t="s">
        <v>1933</v>
      </c>
    </row>
    <row r="682" spans="10:13" ht="13" thickTop="1">
      <c r="J682" s="229" t="s">
        <v>1472</v>
      </c>
      <c r="M682" t="s">
        <v>1933</v>
      </c>
    </row>
    <row r="683" spans="10:13" ht="13" thickBot="1">
      <c r="J683" s="230" t="s">
        <v>2469</v>
      </c>
      <c r="M683" t="s">
        <v>2015</v>
      </c>
    </row>
    <row r="684" spans="10:13" ht="13" thickTop="1">
      <c r="J684" s="229" t="s">
        <v>570</v>
      </c>
      <c r="M684" t="s">
        <v>2015</v>
      </c>
    </row>
    <row r="685" spans="10:13" ht="13" thickBot="1">
      <c r="J685" s="230" t="s">
        <v>2470</v>
      </c>
      <c r="M685" t="s">
        <v>2015</v>
      </c>
    </row>
    <row r="686" spans="10:13" ht="13" thickTop="1">
      <c r="J686" s="229" t="s">
        <v>2471</v>
      </c>
      <c r="M686" t="s">
        <v>2015</v>
      </c>
    </row>
    <row r="687" spans="10:13" ht="13" thickBot="1">
      <c r="J687" s="230" t="s">
        <v>1473</v>
      </c>
      <c r="M687" t="s">
        <v>2015</v>
      </c>
    </row>
    <row r="688" spans="10:13" ht="13" thickTop="1">
      <c r="J688" s="229" t="s">
        <v>2472</v>
      </c>
      <c r="M688" t="s">
        <v>1921</v>
      </c>
    </row>
    <row r="689" spans="10:13" ht="13" thickBot="1">
      <c r="J689" s="230" t="s">
        <v>2473</v>
      </c>
      <c r="M689" t="s">
        <v>1921</v>
      </c>
    </row>
    <row r="690" spans="10:13" ht="13" thickTop="1">
      <c r="J690" s="229" t="s">
        <v>2474</v>
      </c>
      <c r="M690" t="s">
        <v>1921</v>
      </c>
    </row>
    <row r="691" spans="10:13" ht="13" thickBot="1">
      <c r="J691" s="230" t="s">
        <v>2475</v>
      </c>
      <c r="M691" t="s">
        <v>1921</v>
      </c>
    </row>
    <row r="692" spans="10:13" ht="13" thickTop="1">
      <c r="J692" s="229" t="s">
        <v>2476</v>
      </c>
      <c r="M692" t="s">
        <v>1921</v>
      </c>
    </row>
    <row r="693" spans="10:13" ht="13" thickBot="1">
      <c r="J693" s="230" t="s">
        <v>2477</v>
      </c>
      <c r="M693" t="s">
        <v>1933</v>
      </c>
    </row>
    <row r="694" spans="10:13" ht="13" thickTop="1">
      <c r="J694" s="229" t="s">
        <v>2478</v>
      </c>
      <c r="M694" t="s">
        <v>1933</v>
      </c>
    </row>
    <row r="695" spans="10:13" ht="13" thickBot="1">
      <c r="J695" s="230" t="s">
        <v>2479</v>
      </c>
      <c r="M695" t="s">
        <v>1933</v>
      </c>
    </row>
    <row r="696" spans="10:13" ht="13" thickTop="1">
      <c r="J696" s="229" t="s">
        <v>2480</v>
      </c>
      <c r="M696" t="s">
        <v>1933</v>
      </c>
    </row>
    <row r="697" spans="10:13" ht="13" thickBot="1">
      <c r="J697" s="230" t="s">
        <v>2481</v>
      </c>
      <c r="M697" t="s">
        <v>1933</v>
      </c>
    </row>
    <row r="698" spans="10:13" ht="13" thickTop="1">
      <c r="J698" s="229" t="s">
        <v>2482</v>
      </c>
      <c r="M698" t="s">
        <v>1933</v>
      </c>
    </row>
    <row r="699" spans="10:13" ht="13" thickBot="1">
      <c r="J699" s="230" t="s">
        <v>2483</v>
      </c>
      <c r="M699" t="s">
        <v>1933</v>
      </c>
    </row>
    <row r="700" spans="10:13" ht="13" thickTop="1">
      <c r="J700" s="229" t="s">
        <v>2484</v>
      </c>
      <c r="M700" t="s">
        <v>1933</v>
      </c>
    </row>
    <row r="701" spans="10:13" ht="13" thickBot="1">
      <c r="J701" s="230" t="s">
        <v>2485</v>
      </c>
      <c r="M701" t="s">
        <v>1933</v>
      </c>
    </row>
    <row r="702" spans="10:13" ht="13" thickTop="1">
      <c r="J702" s="229" t="s">
        <v>2486</v>
      </c>
      <c r="M702" t="s">
        <v>1933</v>
      </c>
    </row>
    <row r="703" spans="10:13" ht="13" thickBot="1">
      <c r="J703" s="230" t="s">
        <v>2487</v>
      </c>
      <c r="M703" t="s">
        <v>1933</v>
      </c>
    </row>
    <row r="704" spans="10:13" ht="13" thickTop="1">
      <c r="J704" s="229" t="s">
        <v>2488</v>
      </c>
      <c r="M704" t="s">
        <v>1933</v>
      </c>
    </row>
    <row r="705" spans="10:13" ht="13" thickBot="1">
      <c r="J705" s="230" t="s">
        <v>2489</v>
      </c>
      <c r="M705" t="s">
        <v>1933</v>
      </c>
    </row>
    <row r="706" spans="10:13" ht="13" thickTop="1">
      <c r="J706" s="229" t="s">
        <v>2490</v>
      </c>
      <c r="M706" t="s">
        <v>1933</v>
      </c>
    </row>
    <row r="707" spans="10:13" ht="13" thickBot="1">
      <c r="J707" s="230" t="s">
        <v>2491</v>
      </c>
      <c r="M707" t="s">
        <v>1933</v>
      </c>
    </row>
    <row r="708" spans="10:13" ht="13" thickTop="1">
      <c r="J708" s="229" t="s">
        <v>2492</v>
      </c>
      <c r="M708" t="s">
        <v>1933</v>
      </c>
    </row>
    <row r="709" spans="10:13" ht="13" thickBot="1">
      <c r="J709" s="230" t="s">
        <v>2493</v>
      </c>
      <c r="M709" t="s">
        <v>1933</v>
      </c>
    </row>
    <row r="710" spans="10:13" ht="13" thickTop="1">
      <c r="J710" s="229" t="s">
        <v>2494</v>
      </c>
      <c r="M710" t="s">
        <v>1933</v>
      </c>
    </row>
    <row r="711" spans="10:13" ht="13" thickBot="1">
      <c r="J711" s="230" t="s">
        <v>2495</v>
      </c>
      <c r="M711" t="s">
        <v>1933</v>
      </c>
    </row>
    <row r="712" spans="10:13" ht="13" thickTop="1">
      <c r="J712" s="229" t="s">
        <v>2352</v>
      </c>
      <c r="M712" t="s">
        <v>1933</v>
      </c>
    </row>
    <row r="713" spans="10:13" ht="13" thickBot="1">
      <c r="J713" s="230" t="s">
        <v>2496</v>
      </c>
      <c r="M713" t="s">
        <v>1933</v>
      </c>
    </row>
    <row r="714" spans="10:13" ht="13" thickTop="1">
      <c r="J714" s="229" t="s">
        <v>2497</v>
      </c>
      <c r="M714" t="s">
        <v>1933</v>
      </c>
    </row>
    <row r="715" spans="10:13" ht="13" thickBot="1">
      <c r="J715" s="230" t="s">
        <v>2498</v>
      </c>
      <c r="M715" t="s">
        <v>1933</v>
      </c>
    </row>
    <row r="716" spans="10:13" ht="13" thickTop="1">
      <c r="J716" s="229" t="s">
        <v>2499</v>
      </c>
      <c r="M716" t="s">
        <v>1933</v>
      </c>
    </row>
    <row r="717" spans="10:13" ht="13" thickBot="1">
      <c r="J717" s="230" t="s">
        <v>2500</v>
      </c>
      <c r="M717" t="s">
        <v>1933</v>
      </c>
    </row>
    <row r="718" spans="10:13" ht="13" thickTop="1">
      <c r="J718" s="229" t="s">
        <v>2501</v>
      </c>
      <c r="M718" t="s">
        <v>2021</v>
      </c>
    </row>
    <row r="719" spans="10:13" ht="13" thickBot="1">
      <c r="J719" s="230" t="s">
        <v>2502</v>
      </c>
      <c r="M719" t="s">
        <v>2021</v>
      </c>
    </row>
    <row r="720" spans="10:13" ht="13" thickTop="1">
      <c r="J720" s="229" t="s">
        <v>2503</v>
      </c>
      <c r="M720" t="s">
        <v>1933</v>
      </c>
    </row>
    <row r="721" spans="10:13" ht="13" thickBot="1">
      <c r="J721" s="230" t="s">
        <v>2504</v>
      </c>
      <c r="M721" t="s">
        <v>1933</v>
      </c>
    </row>
    <row r="722" spans="10:13" ht="13" thickTop="1">
      <c r="J722" s="229" t="s">
        <v>2505</v>
      </c>
      <c r="M722" t="s">
        <v>1933</v>
      </c>
    </row>
    <row r="723" spans="10:13" ht="13" thickBot="1">
      <c r="J723" s="230" t="s">
        <v>2506</v>
      </c>
      <c r="M723" t="s">
        <v>1933</v>
      </c>
    </row>
    <row r="724" spans="10:13" ht="13" thickTop="1">
      <c r="J724" s="229" t="s">
        <v>2167</v>
      </c>
      <c r="M724" t="s">
        <v>1933</v>
      </c>
    </row>
    <row r="725" spans="10:13" ht="13" thickBot="1">
      <c r="J725" s="230" t="s">
        <v>2507</v>
      </c>
      <c r="M725" t="s">
        <v>1933</v>
      </c>
    </row>
    <row r="726" spans="10:13" ht="13" thickTop="1">
      <c r="J726" s="229" t="s">
        <v>2508</v>
      </c>
      <c r="M726" t="s">
        <v>1933</v>
      </c>
    </row>
    <row r="727" spans="10:13" ht="13" thickBot="1">
      <c r="J727" s="230" t="s">
        <v>2509</v>
      </c>
      <c r="M727" t="s">
        <v>1933</v>
      </c>
    </row>
    <row r="728" spans="10:13" ht="13" thickTop="1">
      <c r="J728" s="229" t="s">
        <v>2510</v>
      </c>
      <c r="M728" t="s">
        <v>1933</v>
      </c>
    </row>
    <row r="729" spans="10:13" ht="13" thickBot="1">
      <c r="J729" s="230" t="s">
        <v>2511</v>
      </c>
      <c r="M729" t="s">
        <v>1933</v>
      </c>
    </row>
    <row r="730" spans="10:13" ht="13" thickTop="1">
      <c r="J730" s="229" t="s">
        <v>2512</v>
      </c>
      <c r="M730" t="s">
        <v>1933</v>
      </c>
    </row>
    <row r="731" spans="10:13" ht="13" thickBot="1">
      <c r="J731" s="230" t="s">
        <v>2513</v>
      </c>
      <c r="M731" t="s">
        <v>1933</v>
      </c>
    </row>
    <row r="732" spans="10:13" ht="13" thickTop="1">
      <c r="J732" s="229" t="s">
        <v>2514</v>
      </c>
      <c r="M732" t="s">
        <v>1933</v>
      </c>
    </row>
    <row r="733" spans="10:13" ht="13" thickBot="1">
      <c r="J733" s="230" t="s">
        <v>2515</v>
      </c>
      <c r="M733" t="s">
        <v>1933</v>
      </c>
    </row>
    <row r="734" spans="10:13" ht="13" thickTop="1">
      <c r="J734" s="229" t="s">
        <v>2516</v>
      </c>
      <c r="M734" t="s">
        <v>1933</v>
      </c>
    </row>
    <row r="735" spans="10:13" ht="13" thickBot="1">
      <c r="J735" s="230" t="s">
        <v>2517</v>
      </c>
      <c r="M735" t="s">
        <v>1933</v>
      </c>
    </row>
    <row r="736" spans="10:13" ht="13" thickTop="1">
      <c r="J736" s="229" t="s">
        <v>2518</v>
      </c>
      <c r="M736" t="s">
        <v>1933</v>
      </c>
    </row>
    <row r="737" spans="10:13" ht="13" thickBot="1">
      <c r="J737" s="230" t="s">
        <v>2519</v>
      </c>
      <c r="M737" t="s">
        <v>1933</v>
      </c>
    </row>
    <row r="738" spans="10:13" ht="13" thickTop="1">
      <c r="J738" s="229" t="s">
        <v>2520</v>
      </c>
      <c r="M738" t="s">
        <v>1933</v>
      </c>
    </row>
    <row r="739" spans="10:13" ht="13" thickBot="1">
      <c r="J739" s="230" t="s">
        <v>2521</v>
      </c>
      <c r="M739" t="s">
        <v>1933</v>
      </c>
    </row>
    <row r="740" spans="10:13" ht="13" thickTop="1">
      <c r="J740" s="229" t="s">
        <v>2522</v>
      </c>
      <c r="M740" t="s">
        <v>1933</v>
      </c>
    </row>
    <row r="741" spans="10:13" ht="13" thickBot="1">
      <c r="J741" s="230" t="s">
        <v>2523</v>
      </c>
      <c r="M741" t="s">
        <v>1933</v>
      </c>
    </row>
    <row r="742" spans="10:13" ht="13" thickTop="1">
      <c r="J742" s="229" t="s">
        <v>2524</v>
      </c>
      <c r="M742" t="s">
        <v>1933</v>
      </c>
    </row>
    <row r="743" spans="10:13" ht="13" thickBot="1">
      <c r="J743" s="230" t="s">
        <v>2525</v>
      </c>
      <c r="M743" t="s">
        <v>1933</v>
      </c>
    </row>
    <row r="744" spans="10:13" ht="13" thickTop="1">
      <c r="J744" s="229" t="s">
        <v>2526</v>
      </c>
      <c r="M744" t="s">
        <v>1933</v>
      </c>
    </row>
    <row r="745" spans="10:13" ht="13" thickBot="1">
      <c r="J745" s="230" t="s">
        <v>2527</v>
      </c>
      <c r="M745" t="s">
        <v>1933</v>
      </c>
    </row>
    <row r="746" spans="10:13" ht="13" thickTop="1">
      <c r="J746" s="229" t="s">
        <v>2528</v>
      </c>
      <c r="M746" t="s">
        <v>1933</v>
      </c>
    </row>
    <row r="747" spans="10:13" ht="13" thickBot="1">
      <c r="J747" s="230" t="s">
        <v>2529</v>
      </c>
      <c r="M747" t="s">
        <v>1933</v>
      </c>
    </row>
    <row r="748" spans="10:13" ht="13" thickTop="1">
      <c r="J748" s="229" t="s">
        <v>2530</v>
      </c>
      <c r="M748" t="s">
        <v>1933</v>
      </c>
    </row>
    <row r="749" spans="10:13" ht="13" thickBot="1">
      <c r="J749" s="230" t="s">
        <v>2531</v>
      </c>
      <c r="M749" t="s">
        <v>1933</v>
      </c>
    </row>
    <row r="750" spans="10:13" ht="13" thickTop="1">
      <c r="J750" s="229" t="s">
        <v>2532</v>
      </c>
      <c r="M750" t="s">
        <v>1933</v>
      </c>
    </row>
    <row r="751" spans="10:13" ht="13" thickBot="1">
      <c r="J751" s="230" t="s">
        <v>2533</v>
      </c>
      <c r="M751" t="s">
        <v>1933</v>
      </c>
    </row>
    <row r="752" spans="10:13" ht="13" thickTop="1">
      <c r="J752" s="229" t="s">
        <v>2534</v>
      </c>
      <c r="M752" t="s">
        <v>1933</v>
      </c>
    </row>
    <row r="753" spans="10:13" ht="13" thickBot="1">
      <c r="J753" s="230" t="s">
        <v>2037</v>
      </c>
      <c r="M753" t="s">
        <v>1933</v>
      </c>
    </row>
    <row r="754" spans="10:13" ht="13" thickTop="1">
      <c r="J754" s="229" t="s">
        <v>2535</v>
      </c>
      <c r="M754" t="s">
        <v>1933</v>
      </c>
    </row>
    <row r="755" spans="10:13" ht="13" thickBot="1">
      <c r="J755" s="230" t="s">
        <v>2536</v>
      </c>
      <c r="M755" t="s">
        <v>1933</v>
      </c>
    </row>
    <row r="756" spans="10:13" ht="13" thickTop="1">
      <c r="J756" s="229" t="s">
        <v>2537</v>
      </c>
      <c r="M756" t="s">
        <v>1933</v>
      </c>
    </row>
    <row r="757" spans="10:13" ht="13" thickBot="1">
      <c r="J757" s="230" t="s">
        <v>2538</v>
      </c>
      <c r="M757" t="s">
        <v>1933</v>
      </c>
    </row>
    <row r="758" spans="10:13" ht="13" thickTop="1">
      <c r="J758" s="229" t="s">
        <v>2539</v>
      </c>
      <c r="M758" t="s">
        <v>1933</v>
      </c>
    </row>
    <row r="759" spans="10:13" ht="13" thickBot="1">
      <c r="J759" s="230" t="s">
        <v>2540</v>
      </c>
      <c r="M759" t="s">
        <v>1921</v>
      </c>
    </row>
    <row r="760" spans="10:13" ht="13" thickTop="1">
      <c r="J760" s="229" t="s">
        <v>2541</v>
      </c>
      <c r="M760" t="s">
        <v>1921</v>
      </c>
    </row>
    <row r="761" spans="10:13" ht="13" thickBot="1">
      <c r="J761" s="230" t="s">
        <v>1474</v>
      </c>
      <c r="M761" t="s">
        <v>1921</v>
      </c>
    </row>
    <row r="762" spans="10:13" ht="13" thickTop="1">
      <c r="J762" s="229" t="s">
        <v>2542</v>
      </c>
      <c r="M762" t="s">
        <v>1921</v>
      </c>
    </row>
    <row r="763" spans="10:13" ht="13" thickBot="1">
      <c r="J763" s="230" t="s">
        <v>2543</v>
      </c>
      <c r="M763" t="s">
        <v>1921</v>
      </c>
    </row>
    <row r="764" spans="10:13" ht="13" thickTop="1">
      <c r="J764" s="229" t="s">
        <v>2544</v>
      </c>
      <c r="M764" t="s">
        <v>1933</v>
      </c>
    </row>
    <row r="765" spans="10:13" ht="13" thickBot="1">
      <c r="J765" s="230" t="s">
        <v>2545</v>
      </c>
      <c r="M765" t="s">
        <v>1933</v>
      </c>
    </row>
    <row r="766" spans="10:13" ht="13" thickTop="1">
      <c r="J766" s="229" t="s">
        <v>2546</v>
      </c>
      <c r="M766" t="s">
        <v>1933</v>
      </c>
    </row>
    <row r="767" spans="10:13" ht="13" thickBot="1">
      <c r="J767" s="230" t="s">
        <v>2054</v>
      </c>
      <c r="M767" t="s">
        <v>1933</v>
      </c>
    </row>
    <row r="768" spans="10:13" ht="13" thickTop="1">
      <c r="J768" s="229" t="s">
        <v>1475</v>
      </c>
      <c r="M768" t="s">
        <v>1933</v>
      </c>
    </row>
    <row r="769" spans="10:13" ht="13" thickBot="1">
      <c r="J769" s="230" t="s">
        <v>1476</v>
      </c>
      <c r="M769" t="s">
        <v>1933</v>
      </c>
    </row>
    <row r="770" spans="10:13" ht="13" thickTop="1">
      <c r="J770" s="229" t="s">
        <v>1477</v>
      </c>
      <c r="M770" t="s">
        <v>1933</v>
      </c>
    </row>
    <row r="771" spans="10:13" ht="13" thickBot="1">
      <c r="J771" s="230" t="s">
        <v>2547</v>
      </c>
      <c r="M771" t="s">
        <v>1933</v>
      </c>
    </row>
    <row r="772" spans="10:13" ht="13" thickTop="1">
      <c r="J772" s="229" t="s">
        <v>2548</v>
      </c>
      <c r="M772" t="s">
        <v>1933</v>
      </c>
    </row>
    <row r="773" spans="10:13" ht="13" thickBot="1">
      <c r="J773" s="230" t="s">
        <v>2549</v>
      </c>
      <c r="M773" t="s">
        <v>1933</v>
      </c>
    </row>
    <row r="774" spans="10:13" ht="13" thickTop="1">
      <c r="J774" s="229" t="s">
        <v>619</v>
      </c>
      <c r="M774" t="s">
        <v>1933</v>
      </c>
    </row>
    <row r="775" spans="10:13" ht="13" thickBot="1">
      <c r="J775" s="230" t="s">
        <v>2550</v>
      </c>
      <c r="M775" t="s">
        <v>1933</v>
      </c>
    </row>
    <row r="776" spans="10:13" ht="13" thickTop="1">
      <c r="J776" s="229" t="s">
        <v>2551</v>
      </c>
      <c r="M776" t="s">
        <v>1933</v>
      </c>
    </row>
    <row r="777" spans="10:13" ht="13" thickBot="1">
      <c r="J777" s="230" t="s">
        <v>2552</v>
      </c>
      <c r="M777" t="s">
        <v>1933</v>
      </c>
    </row>
    <row r="778" spans="10:13" ht="13" thickTop="1">
      <c r="J778" s="229" t="s">
        <v>622</v>
      </c>
      <c r="M778" t="s">
        <v>1933</v>
      </c>
    </row>
    <row r="779" spans="10:13" ht="13" thickBot="1">
      <c r="J779" s="230" t="s">
        <v>502</v>
      </c>
      <c r="M779" t="s">
        <v>1933</v>
      </c>
    </row>
    <row r="780" spans="10:13" ht="13" thickTop="1">
      <c r="J780" s="229" t="s">
        <v>2553</v>
      </c>
      <c r="M780" t="s">
        <v>1933</v>
      </c>
    </row>
    <row r="781" spans="10:13" ht="13" thickBot="1">
      <c r="J781" s="230" t="s">
        <v>2554</v>
      </c>
      <c r="M781" t="s">
        <v>1933</v>
      </c>
    </row>
    <row r="782" spans="10:13" ht="13" thickTop="1">
      <c r="J782" s="229" t="s">
        <v>259</v>
      </c>
      <c r="M782" t="s">
        <v>1933</v>
      </c>
    </row>
    <row r="783" spans="10:13" ht="13" thickBot="1">
      <c r="J783" s="230" t="s">
        <v>2555</v>
      </c>
      <c r="M783" t="s">
        <v>1933</v>
      </c>
    </row>
    <row r="784" spans="10:13" ht="13" thickTop="1">
      <c r="J784" s="229" t="s">
        <v>2556</v>
      </c>
      <c r="M784" t="s">
        <v>1933</v>
      </c>
    </row>
    <row r="785" spans="10:13" ht="13" thickBot="1">
      <c r="J785" s="230" t="s">
        <v>2557</v>
      </c>
      <c r="M785" t="s">
        <v>1933</v>
      </c>
    </row>
    <row r="786" spans="10:13" ht="13" thickTop="1">
      <c r="J786" s="229" t="s">
        <v>2558</v>
      </c>
      <c r="M786" t="s">
        <v>1933</v>
      </c>
    </row>
    <row r="787" spans="10:13" ht="13" thickBot="1">
      <c r="J787" s="230" t="s">
        <v>2559</v>
      </c>
      <c r="M787" t="s">
        <v>1933</v>
      </c>
    </row>
    <row r="788" spans="10:13" ht="13" thickTop="1">
      <c r="J788" s="229" t="s">
        <v>2560</v>
      </c>
      <c r="M788" t="s">
        <v>1933</v>
      </c>
    </row>
    <row r="789" spans="10:13" ht="13" thickBot="1">
      <c r="J789" s="230" t="s">
        <v>1478</v>
      </c>
      <c r="M789" t="s">
        <v>1933</v>
      </c>
    </row>
    <row r="790" spans="10:13" ht="13" thickTop="1">
      <c r="J790" s="229" t="s">
        <v>2561</v>
      </c>
      <c r="M790" t="s">
        <v>1933</v>
      </c>
    </row>
    <row r="791" spans="10:13" ht="13" thickBot="1">
      <c r="J791" s="230" t="s">
        <v>2562</v>
      </c>
      <c r="M791" t="s">
        <v>1933</v>
      </c>
    </row>
    <row r="792" spans="10:13" ht="13" thickTop="1">
      <c r="J792" s="229" t="s">
        <v>2563</v>
      </c>
      <c r="M792" t="s">
        <v>1933</v>
      </c>
    </row>
    <row r="793" spans="10:13" ht="13" thickBot="1">
      <c r="J793" s="230" t="s">
        <v>2564</v>
      </c>
      <c r="M793" t="s">
        <v>1933</v>
      </c>
    </row>
    <row r="794" spans="10:13" ht="13" thickTop="1">
      <c r="J794" s="229" t="s">
        <v>2565</v>
      </c>
      <c r="M794" t="s">
        <v>1933</v>
      </c>
    </row>
    <row r="795" spans="10:13" ht="13" thickBot="1">
      <c r="J795" s="230" t="s">
        <v>2566</v>
      </c>
      <c r="M795" t="s">
        <v>1933</v>
      </c>
    </row>
    <row r="796" spans="10:13" ht="13" thickTop="1">
      <c r="J796" s="229" t="s">
        <v>2567</v>
      </c>
      <c r="M796" t="s">
        <v>1933</v>
      </c>
    </row>
    <row r="797" spans="10:13" ht="13" thickBot="1">
      <c r="J797" s="230" t="s">
        <v>1887</v>
      </c>
      <c r="M797" t="s">
        <v>1933</v>
      </c>
    </row>
    <row r="798" spans="10:13" ht="13" thickTop="1">
      <c r="J798" s="229" t="s">
        <v>2568</v>
      </c>
      <c r="M798" t="s">
        <v>1933</v>
      </c>
    </row>
    <row r="799" spans="10:13" ht="13" thickBot="1">
      <c r="J799" s="230" t="s">
        <v>2569</v>
      </c>
      <c r="M799" t="s">
        <v>1933</v>
      </c>
    </row>
    <row r="800" spans="10:13" ht="13" thickTop="1">
      <c r="J800" s="229" t="s">
        <v>2570</v>
      </c>
      <c r="M800" t="s">
        <v>1933</v>
      </c>
    </row>
    <row r="801" spans="10:13" ht="13" thickBot="1">
      <c r="J801" s="230" t="s">
        <v>2571</v>
      </c>
      <c r="M801" t="s">
        <v>1933</v>
      </c>
    </row>
    <row r="802" spans="10:13" ht="13" thickTop="1">
      <c r="J802" s="229" t="s">
        <v>2572</v>
      </c>
      <c r="M802" t="s">
        <v>1933</v>
      </c>
    </row>
    <row r="803" spans="10:13" ht="13" thickBot="1">
      <c r="J803" s="230" t="s">
        <v>2573</v>
      </c>
      <c r="M803" t="s">
        <v>1933</v>
      </c>
    </row>
    <row r="804" spans="10:13" ht="13" thickTop="1">
      <c r="J804" s="229" t="s">
        <v>2574</v>
      </c>
      <c r="M804" t="s">
        <v>1933</v>
      </c>
    </row>
    <row r="805" spans="10:13" ht="13" thickBot="1">
      <c r="J805" s="230" t="s">
        <v>2575</v>
      </c>
      <c r="M805" t="s">
        <v>1933</v>
      </c>
    </row>
    <row r="806" spans="10:13" ht="13" thickTop="1">
      <c r="J806" s="229" t="s">
        <v>2576</v>
      </c>
      <c r="M806" t="s">
        <v>1933</v>
      </c>
    </row>
    <row r="807" spans="10:13" ht="13" thickBot="1">
      <c r="J807" s="230" t="s">
        <v>1479</v>
      </c>
      <c r="M807" t="s">
        <v>1933</v>
      </c>
    </row>
    <row r="808" spans="10:13" ht="13" thickTop="1">
      <c r="J808" s="229" t="s">
        <v>2577</v>
      </c>
      <c r="M808" t="s">
        <v>1933</v>
      </c>
    </row>
    <row r="809" spans="10:13" ht="13" thickBot="1">
      <c r="J809" s="230" t="s">
        <v>2578</v>
      </c>
      <c r="M809" t="s">
        <v>1933</v>
      </c>
    </row>
    <row r="810" spans="10:13" ht="13" thickTop="1">
      <c r="J810" s="229" t="s">
        <v>2579</v>
      </c>
      <c r="M810" t="s">
        <v>1933</v>
      </c>
    </row>
    <row r="811" spans="10:13" ht="13" thickBot="1">
      <c r="J811" s="230" t="s">
        <v>2580</v>
      </c>
      <c r="M811" t="s">
        <v>1933</v>
      </c>
    </row>
    <row r="812" spans="10:13" ht="13" thickTop="1">
      <c r="J812" s="229" t="s">
        <v>2581</v>
      </c>
      <c r="M812" t="s">
        <v>1933</v>
      </c>
    </row>
    <row r="813" spans="10:13" ht="13" thickBot="1">
      <c r="J813" s="230" t="s">
        <v>2582</v>
      </c>
      <c r="M813" t="s">
        <v>1933</v>
      </c>
    </row>
    <row r="814" spans="10:13" ht="13" thickTop="1">
      <c r="J814" s="229" t="s">
        <v>2583</v>
      </c>
      <c r="M814" t="s">
        <v>1933</v>
      </c>
    </row>
    <row r="815" spans="10:13" ht="13" thickBot="1">
      <c r="J815" s="230" t="s">
        <v>508</v>
      </c>
      <c r="M815" t="s">
        <v>1933</v>
      </c>
    </row>
    <row r="816" spans="10:13" ht="13" thickTop="1">
      <c r="J816" s="229" t="s">
        <v>2584</v>
      </c>
      <c r="M816" t="s">
        <v>1933</v>
      </c>
    </row>
    <row r="817" spans="10:13" ht="13" thickBot="1">
      <c r="J817" s="230" t="s">
        <v>2585</v>
      </c>
      <c r="M817" t="s">
        <v>1933</v>
      </c>
    </row>
    <row r="818" spans="10:13" ht="13" thickTop="1">
      <c r="J818" s="229" t="s">
        <v>2586</v>
      </c>
      <c r="M818" t="s">
        <v>1933</v>
      </c>
    </row>
    <row r="819" spans="10:13" ht="13" thickBot="1">
      <c r="J819" s="230" t="s">
        <v>2587</v>
      </c>
      <c r="M819" t="s">
        <v>1933</v>
      </c>
    </row>
    <row r="820" spans="10:13" ht="13" thickTop="1">
      <c r="J820" s="229" t="s">
        <v>2588</v>
      </c>
      <c r="M820" t="s">
        <v>1933</v>
      </c>
    </row>
    <row r="821" spans="10:13" ht="13" thickBot="1">
      <c r="J821" s="230" t="s">
        <v>2589</v>
      </c>
      <c r="M821" t="s">
        <v>1933</v>
      </c>
    </row>
    <row r="822" spans="10:13" ht="13" thickTop="1">
      <c r="J822" s="229" t="s">
        <v>2590</v>
      </c>
      <c r="M822" t="s">
        <v>1933</v>
      </c>
    </row>
    <row r="823" spans="10:13" ht="13" thickBot="1">
      <c r="J823" s="230" t="s">
        <v>1480</v>
      </c>
      <c r="M823" t="s">
        <v>1933</v>
      </c>
    </row>
    <row r="824" spans="10:13" ht="13" thickTop="1">
      <c r="J824" s="229" t="s">
        <v>2591</v>
      </c>
      <c r="M824" t="s">
        <v>1933</v>
      </c>
    </row>
    <row r="825" spans="10:13" ht="13" thickBot="1">
      <c r="J825" s="230" t="s">
        <v>2592</v>
      </c>
      <c r="M825" t="s">
        <v>1933</v>
      </c>
    </row>
    <row r="826" spans="10:13" ht="13" thickTop="1">
      <c r="J826" s="229" t="s">
        <v>2593</v>
      </c>
      <c r="M826" t="s">
        <v>1933</v>
      </c>
    </row>
    <row r="827" spans="10:13" ht="13" thickBot="1">
      <c r="J827" s="230" t="s">
        <v>2594</v>
      </c>
      <c r="M827" t="s">
        <v>1933</v>
      </c>
    </row>
    <row r="828" spans="10:13" ht="13" thickTop="1">
      <c r="J828" s="229" t="s">
        <v>2595</v>
      </c>
      <c r="M828" t="s">
        <v>1933</v>
      </c>
    </row>
    <row r="829" spans="10:13" ht="13" thickBot="1">
      <c r="J829" s="230" t="s">
        <v>1481</v>
      </c>
      <c r="M829" t="s">
        <v>1933</v>
      </c>
    </row>
    <row r="830" spans="10:13" ht="13" thickTop="1">
      <c r="J830" s="229" t="s">
        <v>2596</v>
      </c>
      <c r="M830" t="s">
        <v>1933</v>
      </c>
    </row>
    <row r="831" spans="10:13" ht="25.2" thickBot="1">
      <c r="J831" s="230" t="s">
        <v>2597</v>
      </c>
      <c r="M831" t="s">
        <v>1933</v>
      </c>
    </row>
    <row r="832" spans="10:13" ht="13" thickTop="1">
      <c r="J832" s="229" t="s">
        <v>2598</v>
      </c>
      <c r="M832" t="s">
        <v>1933</v>
      </c>
    </row>
    <row r="833" spans="10:13" ht="13" thickBot="1">
      <c r="J833" s="230" t="s">
        <v>2599</v>
      </c>
      <c r="M833" t="s">
        <v>1933</v>
      </c>
    </row>
    <row r="834" spans="10:13" ht="13" thickTop="1">
      <c r="J834" s="229" t="s">
        <v>2600</v>
      </c>
      <c r="M834" t="s">
        <v>1933</v>
      </c>
    </row>
    <row r="835" spans="10:13" ht="13" thickBot="1">
      <c r="J835" s="230" t="s">
        <v>2601</v>
      </c>
      <c r="M835" t="s">
        <v>1933</v>
      </c>
    </row>
    <row r="836" spans="10:13" ht="13" thickTop="1">
      <c r="J836" s="229" t="s">
        <v>2602</v>
      </c>
      <c r="M836" t="s">
        <v>1933</v>
      </c>
    </row>
    <row r="837" spans="10:13" ht="13" thickBot="1">
      <c r="J837" s="230" t="s">
        <v>2603</v>
      </c>
      <c r="M837" t="s">
        <v>1933</v>
      </c>
    </row>
    <row r="838" spans="10:13" ht="25.2" thickTop="1">
      <c r="J838" s="229" t="s">
        <v>2604</v>
      </c>
      <c r="M838" t="s">
        <v>1933</v>
      </c>
    </row>
    <row r="839" spans="10:13" ht="13" thickBot="1">
      <c r="J839" s="230" t="s">
        <v>2605</v>
      </c>
      <c r="M839" t="s">
        <v>1933</v>
      </c>
    </row>
    <row r="840" spans="10:13" ht="13" thickTop="1">
      <c r="J840" s="229" t="s">
        <v>2606</v>
      </c>
      <c r="M840" t="s">
        <v>1933</v>
      </c>
    </row>
    <row r="841" spans="10:13" ht="13" thickBot="1">
      <c r="J841" s="230" t="s">
        <v>2607</v>
      </c>
      <c r="M841" t="s">
        <v>1933</v>
      </c>
    </row>
    <row r="842" spans="10:13" ht="13" thickTop="1">
      <c r="J842" s="229" t="s">
        <v>1482</v>
      </c>
      <c r="M842" t="s">
        <v>1933</v>
      </c>
    </row>
    <row r="843" spans="10:13" ht="13" thickBot="1">
      <c r="J843" s="230" t="s">
        <v>2608</v>
      </c>
      <c r="M843" t="s">
        <v>1933</v>
      </c>
    </row>
    <row r="844" spans="10:13" ht="13" thickTop="1">
      <c r="J844" s="229" t="s">
        <v>2609</v>
      </c>
      <c r="M844" t="s">
        <v>1933</v>
      </c>
    </row>
    <row r="845" spans="10:13" ht="13" thickBot="1">
      <c r="J845" s="230" t="s">
        <v>2610</v>
      </c>
      <c r="M845" t="s">
        <v>1933</v>
      </c>
    </row>
    <row r="846" spans="10:13" ht="13" thickTop="1">
      <c r="J846" s="229" t="s">
        <v>2611</v>
      </c>
      <c r="M846" t="s">
        <v>1933</v>
      </c>
    </row>
    <row r="847" spans="10:13" ht="13" thickBot="1">
      <c r="J847" s="230" t="s">
        <v>2612</v>
      </c>
      <c r="M847" t="s">
        <v>1933</v>
      </c>
    </row>
    <row r="848" spans="10:13" ht="13" thickTop="1">
      <c r="J848" s="229" t="s">
        <v>2613</v>
      </c>
      <c r="M848" t="s">
        <v>1933</v>
      </c>
    </row>
    <row r="849" spans="10:13" ht="13" thickBot="1">
      <c r="J849" s="230" t="s">
        <v>2614</v>
      </c>
      <c r="M849" t="s">
        <v>1933</v>
      </c>
    </row>
    <row r="850" spans="10:13" ht="13" thickTop="1">
      <c r="J850" s="229" t="s">
        <v>2615</v>
      </c>
      <c r="M850" t="s">
        <v>1933</v>
      </c>
    </row>
    <row r="851" spans="10:13" ht="13" thickBot="1">
      <c r="J851" s="230" t="s">
        <v>1483</v>
      </c>
      <c r="M851" t="s">
        <v>1933</v>
      </c>
    </row>
    <row r="852" spans="10:13" ht="13" thickTop="1">
      <c r="J852" s="229" t="s">
        <v>2616</v>
      </c>
      <c r="M852" t="s">
        <v>1933</v>
      </c>
    </row>
    <row r="853" spans="10:13">
      <c r="J853" s="232" t="s">
        <v>2617</v>
      </c>
      <c r="M853" t="s">
        <v>1933</v>
      </c>
    </row>
    <row r="854" spans="10:13" ht="13" thickBot="1">
      <c r="J854" s="231" t="s">
        <v>2618</v>
      </c>
      <c r="M854" t="s">
        <v>1933</v>
      </c>
    </row>
    <row r="855" spans="10:13" ht="13" thickTop="1">
      <c r="J855" s="229" t="s">
        <v>2619</v>
      </c>
      <c r="M855" t="s">
        <v>1933</v>
      </c>
    </row>
    <row r="856" spans="10:13">
      <c r="J856" s="232" t="s">
        <v>2620</v>
      </c>
      <c r="M856" t="s">
        <v>1933</v>
      </c>
    </row>
    <row r="857" spans="10:13" ht="13" thickBot="1">
      <c r="J857" s="231" t="s">
        <v>1484</v>
      </c>
      <c r="M857" t="s">
        <v>1933</v>
      </c>
    </row>
    <row r="858" spans="10:13" ht="13" thickTop="1">
      <c r="J858" s="229" t="s">
        <v>1485</v>
      </c>
      <c r="M858" t="s">
        <v>1933</v>
      </c>
    </row>
    <row r="859" spans="10:13" ht="13" thickBot="1">
      <c r="J859" s="230" t="s">
        <v>1486</v>
      </c>
      <c r="M859" t="s">
        <v>1933</v>
      </c>
    </row>
    <row r="860" spans="10:13" ht="13" thickTop="1">
      <c r="J860" s="229" t="s">
        <v>668</v>
      </c>
      <c r="M860" t="s">
        <v>1933</v>
      </c>
    </row>
    <row r="861" spans="10:13" ht="13" thickBot="1">
      <c r="J861" s="230" t="s">
        <v>1487</v>
      </c>
      <c r="M861" t="s">
        <v>1933</v>
      </c>
    </row>
    <row r="862" spans="10:13" ht="13" thickTop="1">
      <c r="J862" s="229" t="s">
        <v>695</v>
      </c>
      <c r="M862" t="s">
        <v>1933</v>
      </c>
    </row>
    <row r="863" spans="10:13" ht="13" thickBot="1">
      <c r="J863" s="230" t="s">
        <v>1488</v>
      </c>
      <c r="M863" t="s">
        <v>1933</v>
      </c>
    </row>
    <row r="864" spans="10:13" ht="13" thickTop="1">
      <c r="J864" s="229" t="s">
        <v>1489</v>
      </c>
      <c r="M864" t="s">
        <v>1933</v>
      </c>
    </row>
    <row r="865" spans="10:13" ht="13" thickBot="1">
      <c r="J865" s="230" t="s">
        <v>1490</v>
      </c>
      <c r="M865" t="s">
        <v>1933</v>
      </c>
    </row>
    <row r="866" spans="10:13" ht="13" thickTop="1">
      <c r="J866" s="229" t="s">
        <v>1491</v>
      </c>
      <c r="M866" t="s">
        <v>1933</v>
      </c>
    </row>
    <row r="867" spans="10:13" ht="13" thickBot="1">
      <c r="J867" s="230" t="s">
        <v>1492</v>
      </c>
      <c r="M867" t="s">
        <v>1933</v>
      </c>
    </row>
    <row r="868" spans="10:13" ht="13" thickTop="1">
      <c r="J868" s="229" t="s">
        <v>1493</v>
      </c>
      <c r="M868" t="s">
        <v>1933</v>
      </c>
    </row>
    <row r="869" spans="10:13" ht="13" thickBot="1">
      <c r="J869" s="230" t="s">
        <v>1494</v>
      </c>
      <c r="M869" t="s">
        <v>1933</v>
      </c>
    </row>
    <row r="870" spans="10:13" ht="13" thickTop="1">
      <c r="J870" s="229" t="s">
        <v>1495</v>
      </c>
      <c r="M870" t="s">
        <v>1933</v>
      </c>
    </row>
    <row r="871" spans="10:13" ht="13" thickBot="1">
      <c r="J871" s="230" t="s">
        <v>1496</v>
      </c>
      <c r="M871" t="s">
        <v>1933</v>
      </c>
    </row>
    <row r="872" spans="10:13" ht="13" thickTop="1">
      <c r="J872" s="229" t="s">
        <v>1497</v>
      </c>
      <c r="M872" t="s">
        <v>1933</v>
      </c>
    </row>
    <row r="873" spans="10:13" ht="13" thickBot="1">
      <c r="J873" s="230" t="s">
        <v>1498</v>
      </c>
      <c r="M873" t="s">
        <v>1933</v>
      </c>
    </row>
    <row r="874" spans="10:13" ht="13" thickTop="1">
      <c r="J874" s="229" t="s">
        <v>1499</v>
      </c>
      <c r="M874" t="s">
        <v>1933</v>
      </c>
    </row>
    <row r="875" spans="10:13" ht="13" thickBot="1">
      <c r="J875" s="230" t="s">
        <v>1500</v>
      </c>
      <c r="M875" t="s">
        <v>1933</v>
      </c>
    </row>
    <row r="876" spans="10:13" ht="13" thickTop="1">
      <c r="J876" s="229" t="s">
        <v>1501</v>
      </c>
      <c r="M876" t="s">
        <v>1933</v>
      </c>
    </row>
    <row r="877" spans="10:13" ht="13" thickBot="1">
      <c r="J877" s="230" t="s">
        <v>1502</v>
      </c>
      <c r="M877" t="s">
        <v>1933</v>
      </c>
    </row>
    <row r="878" spans="10:13" ht="13" thickTop="1">
      <c r="J878" s="229" t="s">
        <v>1503</v>
      </c>
      <c r="M878" t="s">
        <v>1933</v>
      </c>
    </row>
    <row r="879" spans="10:13" ht="13" thickBot="1">
      <c r="J879" s="230" t="s">
        <v>1504</v>
      </c>
      <c r="M879" t="s">
        <v>1933</v>
      </c>
    </row>
    <row r="880" spans="10:13" ht="13" thickTop="1">
      <c r="J880" s="229" t="s">
        <v>1505</v>
      </c>
      <c r="M880" t="s">
        <v>1933</v>
      </c>
    </row>
    <row r="881" spans="10:13" ht="13" thickBot="1">
      <c r="J881" s="230" t="s">
        <v>1506</v>
      </c>
      <c r="M881" t="s">
        <v>1933</v>
      </c>
    </row>
    <row r="882" spans="10:13" ht="13" thickTop="1">
      <c r="J882" s="229" t="s">
        <v>1507</v>
      </c>
      <c r="M882" t="s">
        <v>1933</v>
      </c>
    </row>
    <row r="883" spans="10:13" ht="13" thickBot="1">
      <c r="J883" s="230" t="s">
        <v>1508</v>
      </c>
      <c r="M883" t="s">
        <v>1933</v>
      </c>
    </row>
    <row r="884" spans="10:13" ht="13" thickTop="1">
      <c r="J884" s="229" t="s">
        <v>556</v>
      </c>
      <c r="M884" t="s">
        <v>1933</v>
      </c>
    </row>
    <row r="885" spans="10:13" ht="13" thickBot="1">
      <c r="J885" s="230" t="s">
        <v>1509</v>
      </c>
      <c r="M885" t="s">
        <v>1933</v>
      </c>
    </row>
    <row r="886" spans="10:13" ht="13" thickTop="1">
      <c r="J886" s="229" t="s">
        <v>1510</v>
      </c>
      <c r="M886" t="s">
        <v>1933</v>
      </c>
    </row>
    <row r="887" spans="10:13" ht="13" thickBot="1">
      <c r="J887" s="230" t="s">
        <v>1511</v>
      </c>
      <c r="M887" t="s">
        <v>1933</v>
      </c>
    </row>
    <row r="888" spans="10:13" ht="13" thickTop="1">
      <c r="J888" s="229" t="s">
        <v>1512</v>
      </c>
      <c r="M888" t="s">
        <v>1933</v>
      </c>
    </row>
    <row r="889" spans="10:13" ht="13" thickBot="1">
      <c r="J889" s="230" t="s">
        <v>1513</v>
      </c>
      <c r="M889" t="s">
        <v>1933</v>
      </c>
    </row>
    <row r="890" spans="10:13" ht="13" thickTop="1">
      <c r="J890" s="229" t="s">
        <v>1514</v>
      </c>
      <c r="M890" t="s">
        <v>1933</v>
      </c>
    </row>
    <row r="891" spans="10:13" ht="13" thickBot="1">
      <c r="J891" s="230" t="s">
        <v>1515</v>
      </c>
      <c r="M891" t="s">
        <v>1933</v>
      </c>
    </row>
    <row r="892" spans="10:13" ht="13" thickTop="1">
      <c r="J892" s="229" t="s">
        <v>1516</v>
      </c>
      <c r="M892" t="s">
        <v>1933</v>
      </c>
    </row>
    <row r="893" spans="10:13" ht="13" thickBot="1">
      <c r="J893" s="230" t="s">
        <v>1517</v>
      </c>
      <c r="M893" t="s">
        <v>1933</v>
      </c>
    </row>
    <row r="894" spans="10:13" ht="13" thickTop="1">
      <c r="J894" s="229" t="s">
        <v>1518</v>
      </c>
      <c r="M894" t="s">
        <v>1933</v>
      </c>
    </row>
    <row r="895" spans="10:13" ht="13" thickBot="1">
      <c r="J895" s="230" t="s">
        <v>1519</v>
      </c>
      <c r="M895" t="s">
        <v>1933</v>
      </c>
    </row>
    <row r="896" spans="10:13" ht="13" thickTop="1">
      <c r="J896" s="229" t="s">
        <v>1520</v>
      </c>
      <c r="M896" t="s">
        <v>1933</v>
      </c>
    </row>
    <row r="897" spans="10:13" ht="13" thickBot="1">
      <c r="J897" s="230" t="s">
        <v>1521</v>
      </c>
      <c r="M897" t="s">
        <v>1933</v>
      </c>
    </row>
    <row r="898" spans="10:13" ht="13" thickTop="1">
      <c r="J898" s="229" t="s">
        <v>1522</v>
      </c>
      <c r="M898" t="s">
        <v>1933</v>
      </c>
    </row>
    <row r="899" spans="10:13" ht="13" thickBot="1">
      <c r="J899" s="230" t="s">
        <v>1523</v>
      </c>
      <c r="M899" t="s">
        <v>1933</v>
      </c>
    </row>
    <row r="900" spans="10:13" ht="13" thickTop="1">
      <c r="J900" s="229" t="s">
        <v>1524</v>
      </c>
      <c r="M900" t="s">
        <v>1933</v>
      </c>
    </row>
    <row r="901" spans="10:13" ht="13" thickBot="1">
      <c r="J901" s="230" t="s">
        <v>1525</v>
      </c>
      <c r="M901" t="s">
        <v>1933</v>
      </c>
    </row>
    <row r="902" spans="10:13" ht="13" thickTop="1">
      <c r="J902" s="229" t="s">
        <v>1526</v>
      </c>
      <c r="M902" t="s">
        <v>1933</v>
      </c>
    </row>
    <row r="903" spans="10:13" ht="13" thickBot="1">
      <c r="J903" s="230" t="s">
        <v>1527</v>
      </c>
      <c r="M903" t="s">
        <v>1933</v>
      </c>
    </row>
    <row r="904" spans="10:13" ht="13" thickTop="1">
      <c r="J904" s="229" t="s">
        <v>1528</v>
      </c>
      <c r="M904" t="s">
        <v>1933</v>
      </c>
    </row>
    <row r="905" spans="10:13" ht="13" thickBot="1">
      <c r="J905" s="230" t="s">
        <v>1529</v>
      </c>
      <c r="M905" t="s">
        <v>1933</v>
      </c>
    </row>
    <row r="906" spans="10:13" ht="13" thickTop="1">
      <c r="J906" s="229" t="s">
        <v>1530</v>
      </c>
      <c r="M906" t="s">
        <v>1933</v>
      </c>
    </row>
    <row r="907" spans="10:13" ht="13" thickBot="1">
      <c r="J907" s="230" t="s">
        <v>1531</v>
      </c>
      <c r="M907" t="s">
        <v>1933</v>
      </c>
    </row>
    <row r="908" spans="10:13" ht="13" thickTop="1">
      <c r="J908" s="229" t="s">
        <v>1532</v>
      </c>
      <c r="M908" t="s">
        <v>1933</v>
      </c>
    </row>
    <row r="909" spans="10:13" ht="13" thickBot="1">
      <c r="J909" s="230" t="s">
        <v>1533</v>
      </c>
      <c r="M909" t="s">
        <v>1933</v>
      </c>
    </row>
    <row r="910" spans="10:13" ht="13" thickTop="1">
      <c r="J910" s="229" t="s">
        <v>1534</v>
      </c>
      <c r="M910" t="s">
        <v>1933</v>
      </c>
    </row>
    <row r="911" spans="10:13" ht="13" thickBot="1">
      <c r="J911" s="230" t="s">
        <v>1535</v>
      </c>
      <c r="M911" t="s">
        <v>1933</v>
      </c>
    </row>
    <row r="912" spans="10:13" ht="13" thickTop="1">
      <c r="J912" s="229" t="s">
        <v>1536</v>
      </c>
      <c r="M912" t="s">
        <v>1933</v>
      </c>
    </row>
    <row r="913" spans="10:13" ht="13" thickBot="1">
      <c r="J913" s="230" t="s">
        <v>1537</v>
      </c>
      <c r="M913" t="s">
        <v>1933</v>
      </c>
    </row>
    <row r="914" spans="10:13" ht="13" thickTop="1">
      <c r="J914" s="229" t="s">
        <v>1538</v>
      </c>
      <c r="M914" t="s">
        <v>1933</v>
      </c>
    </row>
    <row r="915" spans="10:13" ht="13" thickBot="1">
      <c r="J915" s="230" t="s">
        <v>1539</v>
      </c>
      <c r="M915" t="s">
        <v>1933</v>
      </c>
    </row>
    <row r="916" spans="10:13" ht="13" thickTop="1">
      <c r="J916" s="229" t="s">
        <v>1540</v>
      </c>
      <c r="M916" t="s">
        <v>1933</v>
      </c>
    </row>
    <row r="917" spans="10:13" ht="13" thickBot="1">
      <c r="J917" s="230" t="s">
        <v>1541</v>
      </c>
      <c r="M917" t="s">
        <v>1933</v>
      </c>
    </row>
    <row r="918" spans="10:13" ht="13" thickTop="1">
      <c r="J918" s="229" t="s">
        <v>1542</v>
      </c>
      <c r="M918" t="s">
        <v>1933</v>
      </c>
    </row>
    <row r="919" spans="10:13" ht="13" thickBot="1">
      <c r="J919" s="230" t="s">
        <v>1543</v>
      </c>
      <c r="M919" t="s">
        <v>1933</v>
      </c>
    </row>
    <row r="920" spans="10:13" ht="13" thickTop="1">
      <c r="J920" s="229" t="s">
        <v>1544</v>
      </c>
      <c r="M920" t="s">
        <v>1933</v>
      </c>
    </row>
    <row r="921" spans="10:13" ht="13" thickBot="1">
      <c r="J921" s="230" t="s">
        <v>1545</v>
      </c>
      <c r="M921" t="s">
        <v>1933</v>
      </c>
    </row>
    <row r="922" spans="10:13" ht="13" thickTop="1">
      <c r="J922" s="229" t="s">
        <v>1546</v>
      </c>
      <c r="M922" t="s">
        <v>1933</v>
      </c>
    </row>
    <row r="923" spans="10:13" ht="13" thickBot="1">
      <c r="J923" s="230" t="s">
        <v>1547</v>
      </c>
      <c r="M923" t="s">
        <v>1933</v>
      </c>
    </row>
    <row r="924" spans="10:13" ht="13" thickTop="1">
      <c r="J924" s="229" t="s">
        <v>1548</v>
      </c>
      <c r="M924" t="s">
        <v>1933</v>
      </c>
    </row>
    <row r="925" spans="10:13" ht="13" thickBot="1">
      <c r="J925" s="230" t="s">
        <v>536</v>
      </c>
      <c r="M925" t="s">
        <v>1933</v>
      </c>
    </row>
    <row r="926" spans="10:13" ht="13" thickTop="1">
      <c r="J926" s="229" t="s">
        <v>1549</v>
      </c>
      <c r="M926" t="s">
        <v>1933</v>
      </c>
    </row>
    <row r="927" spans="10:13" ht="13" thickBot="1">
      <c r="J927" s="230" t="s">
        <v>1550</v>
      </c>
      <c r="M927" t="s">
        <v>1933</v>
      </c>
    </row>
    <row r="928" spans="10:13" ht="13" thickTop="1">
      <c r="J928" s="229" t="s">
        <v>1551</v>
      </c>
      <c r="M928" t="s">
        <v>1933</v>
      </c>
    </row>
    <row r="929" spans="10:13" ht="13" thickBot="1">
      <c r="J929" s="230" t="s">
        <v>1552</v>
      </c>
      <c r="M929" t="s">
        <v>1933</v>
      </c>
    </row>
    <row r="930" spans="10:13" ht="13" thickTop="1">
      <c r="J930" s="229" t="s">
        <v>1553</v>
      </c>
      <c r="M930" t="s">
        <v>1933</v>
      </c>
    </row>
    <row r="931" spans="10:13" ht="13" thickBot="1">
      <c r="J931" s="230" t="s">
        <v>1554</v>
      </c>
      <c r="M931" t="s">
        <v>1933</v>
      </c>
    </row>
    <row r="932" spans="10:13" ht="13" thickTop="1">
      <c r="J932" s="229" t="s">
        <v>1555</v>
      </c>
      <c r="M932" t="s">
        <v>1933</v>
      </c>
    </row>
    <row r="933" spans="10:13" ht="13" thickBot="1">
      <c r="J933" s="230" t="s">
        <v>1556</v>
      </c>
      <c r="M933" t="s">
        <v>1933</v>
      </c>
    </row>
    <row r="934" spans="10:13" ht="13" thickTop="1">
      <c r="J934" s="229" t="s">
        <v>1557</v>
      </c>
      <c r="M934" t="s">
        <v>1933</v>
      </c>
    </row>
    <row r="935" spans="10:13" ht="13" thickBot="1">
      <c r="J935" s="230" t="s">
        <v>1558</v>
      </c>
      <c r="M935" t="s">
        <v>1933</v>
      </c>
    </row>
    <row r="936" spans="10:13" ht="13" thickTop="1">
      <c r="J936" s="229" t="s">
        <v>1559</v>
      </c>
      <c r="M936" t="s">
        <v>1933</v>
      </c>
    </row>
    <row r="937" spans="10:13" ht="13" thickBot="1">
      <c r="J937" s="230" t="s">
        <v>1560</v>
      </c>
      <c r="M937" t="s">
        <v>1933</v>
      </c>
    </row>
    <row r="938" spans="10:13" ht="13" thickTop="1">
      <c r="J938" s="229" t="s">
        <v>1561</v>
      </c>
      <c r="M938" t="s">
        <v>1933</v>
      </c>
    </row>
    <row r="939" spans="10:13" ht="13" thickBot="1">
      <c r="J939" s="230" t="s">
        <v>1562</v>
      </c>
      <c r="M939" t="s">
        <v>1933</v>
      </c>
    </row>
    <row r="940" spans="10:13" ht="13" thickTop="1">
      <c r="J940" s="229" t="s">
        <v>1563</v>
      </c>
      <c r="M940" t="s">
        <v>1933</v>
      </c>
    </row>
    <row r="941" spans="10:13" ht="13" thickBot="1">
      <c r="J941" s="230" t="s">
        <v>1564</v>
      </c>
      <c r="M941" t="s">
        <v>1933</v>
      </c>
    </row>
    <row r="942" spans="10:13" ht="13" thickTop="1">
      <c r="J942" s="229" t="s">
        <v>1565</v>
      </c>
      <c r="M942" t="s">
        <v>1933</v>
      </c>
    </row>
    <row r="943" spans="10:13" ht="13" thickBot="1">
      <c r="J943" s="230" t="s">
        <v>1566</v>
      </c>
      <c r="M943" t="s">
        <v>1933</v>
      </c>
    </row>
    <row r="944" spans="10:13" ht="13" thickTop="1">
      <c r="J944" s="229" t="s">
        <v>1567</v>
      </c>
      <c r="M944" t="s">
        <v>1933</v>
      </c>
    </row>
    <row r="945" spans="10:13" ht="13" thickBot="1">
      <c r="J945" s="230" t="s">
        <v>1568</v>
      </c>
      <c r="M945" t="s">
        <v>1933</v>
      </c>
    </row>
    <row r="946" spans="10:13" ht="13" thickTop="1">
      <c r="J946" s="229" t="s">
        <v>1569</v>
      </c>
      <c r="M946" t="s">
        <v>1933</v>
      </c>
    </row>
    <row r="947" spans="10:13" ht="13" thickBot="1">
      <c r="J947" s="230" t="s">
        <v>1570</v>
      </c>
      <c r="M947" t="s">
        <v>1933</v>
      </c>
    </row>
    <row r="948" spans="10:13" ht="13" thickTop="1">
      <c r="J948" s="229" t="s">
        <v>1571</v>
      </c>
      <c r="M948" t="s">
        <v>1933</v>
      </c>
    </row>
    <row r="949" spans="10:13" ht="13" thickBot="1">
      <c r="J949" s="230" t="s">
        <v>1572</v>
      </c>
      <c r="M949" t="s">
        <v>1933</v>
      </c>
    </row>
    <row r="950" spans="10:13" ht="13" thickTop="1">
      <c r="J950" s="229" t="s">
        <v>1573</v>
      </c>
      <c r="M950" t="s">
        <v>1933</v>
      </c>
    </row>
    <row r="951" spans="10:13" ht="13" thickBot="1">
      <c r="J951" s="230" t="s">
        <v>1574</v>
      </c>
      <c r="M951" t="s">
        <v>1933</v>
      </c>
    </row>
    <row r="952" spans="10:13" ht="13" thickTop="1">
      <c r="J952" s="229" t="s">
        <v>1575</v>
      </c>
      <c r="M952" t="s">
        <v>1933</v>
      </c>
    </row>
    <row r="953" spans="10:13" ht="13" thickBot="1">
      <c r="J953" s="230" t="s">
        <v>1576</v>
      </c>
      <c r="M953" t="s">
        <v>1933</v>
      </c>
    </row>
    <row r="954" spans="10:13" ht="13" thickTop="1">
      <c r="J954" s="229" t="s">
        <v>1577</v>
      </c>
      <c r="M954" t="s">
        <v>1933</v>
      </c>
    </row>
    <row r="955" spans="10:13" ht="13" thickBot="1">
      <c r="J955" s="230" t="s">
        <v>1578</v>
      </c>
      <c r="M955" t="s">
        <v>1933</v>
      </c>
    </row>
    <row r="956" spans="10:13" ht="13" thickTop="1">
      <c r="J956" s="229" t="s">
        <v>1579</v>
      </c>
      <c r="M956" t="s">
        <v>1933</v>
      </c>
    </row>
    <row r="957" spans="10:13" ht="13" thickBot="1">
      <c r="J957" s="230" t="s">
        <v>1580</v>
      </c>
      <c r="M957" t="s">
        <v>1933</v>
      </c>
    </row>
    <row r="958" spans="10:13" ht="13" thickTop="1">
      <c r="J958" s="229" t="s">
        <v>1581</v>
      </c>
      <c r="M958" t="s">
        <v>1933</v>
      </c>
    </row>
    <row r="959" spans="10:13" ht="13" thickBot="1">
      <c r="J959" s="230" t="s">
        <v>1582</v>
      </c>
      <c r="M959" t="s">
        <v>1933</v>
      </c>
    </row>
    <row r="960" spans="10:13" ht="13" thickTop="1">
      <c r="J960" s="229" t="s">
        <v>1583</v>
      </c>
      <c r="M960" t="s">
        <v>1933</v>
      </c>
    </row>
    <row r="961" spans="10:13" ht="25.2" thickBot="1">
      <c r="J961" s="230" t="s">
        <v>1584</v>
      </c>
      <c r="M961" t="s">
        <v>1933</v>
      </c>
    </row>
    <row r="962" spans="10:13" ht="13" thickTop="1">
      <c r="J962" s="229" t="s">
        <v>1585</v>
      </c>
      <c r="M962" t="s">
        <v>1933</v>
      </c>
    </row>
    <row r="963" spans="10:13" ht="13" thickBot="1">
      <c r="J963" s="230" t="s">
        <v>1586</v>
      </c>
      <c r="M963" t="s">
        <v>1933</v>
      </c>
    </row>
    <row r="964" spans="10:13" ht="25.2" thickTop="1">
      <c r="J964" s="229" t="s">
        <v>1587</v>
      </c>
      <c r="M964" t="s">
        <v>1933</v>
      </c>
    </row>
    <row r="965" spans="10:13" ht="13" thickBot="1">
      <c r="J965" s="230" t="s">
        <v>1588</v>
      </c>
      <c r="M965" t="s">
        <v>1933</v>
      </c>
    </row>
    <row r="966" spans="10:13" ht="25.2" thickTop="1">
      <c r="J966" s="229" t="s">
        <v>1589</v>
      </c>
      <c r="M966" t="s">
        <v>1933</v>
      </c>
    </row>
    <row r="967" spans="10:13" ht="13" thickBot="1">
      <c r="J967" s="230" t="s">
        <v>1590</v>
      </c>
      <c r="M967" t="s">
        <v>1933</v>
      </c>
    </row>
    <row r="968" spans="10:13" ht="13" thickTop="1">
      <c r="J968" s="229" t="s">
        <v>1591</v>
      </c>
      <c r="M968" t="s">
        <v>1933</v>
      </c>
    </row>
    <row r="969" spans="10:13" ht="13" thickBot="1">
      <c r="J969" s="230" t="s">
        <v>1592</v>
      </c>
      <c r="M969" t="s">
        <v>1933</v>
      </c>
    </row>
    <row r="970" spans="10:13" ht="13" thickTop="1">
      <c r="J970" s="229" t="s">
        <v>1593</v>
      </c>
      <c r="M970" t="s">
        <v>1933</v>
      </c>
    </row>
    <row r="971" spans="10:13" ht="25.2" thickBot="1">
      <c r="J971" s="230" t="s">
        <v>1594</v>
      </c>
      <c r="M971" t="s">
        <v>1933</v>
      </c>
    </row>
    <row r="972" spans="10:13" ht="13" thickTop="1">
      <c r="J972" s="229" t="s">
        <v>1595</v>
      </c>
      <c r="M972" t="s">
        <v>1933</v>
      </c>
    </row>
    <row r="973" spans="10:13" ht="13" thickBot="1">
      <c r="J973" s="230" t="s">
        <v>1596</v>
      </c>
      <c r="M973" t="s">
        <v>1933</v>
      </c>
    </row>
    <row r="974" spans="10:13" ht="13" thickTop="1">
      <c r="J974" s="229" t="s">
        <v>1597</v>
      </c>
      <c r="M974" t="s">
        <v>1933</v>
      </c>
    </row>
    <row r="975" spans="10:13" ht="13" thickBot="1">
      <c r="J975" s="230" t="s">
        <v>1598</v>
      </c>
      <c r="M975" t="s">
        <v>1933</v>
      </c>
    </row>
    <row r="976" spans="10:13" ht="13" thickTop="1">
      <c r="J976" s="229" t="s">
        <v>1599</v>
      </c>
      <c r="M976" t="s">
        <v>1933</v>
      </c>
    </row>
    <row r="977" spans="10:13" ht="13" thickBot="1">
      <c r="J977" s="230" t="s">
        <v>1600</v>
      </c>
      <c r="M977" t="s">
        <v>1933</v>
      </c>
    </row>
    <row r="978" spans="10:13" ht="13" thickTop="1">
      <c r="J978" s="229" t="s">
        <v>1601</v>
      </c>
      <c r="M978" t="s">
        <v>1933</v>
      </c>
    </row>
    <row r="979" spans="10:13" ht="13" thickBot="1">
      <c r="J979" s="230" t="s">
        <v>1602</v>
      </c>
      <c r="M979" t="s">
        <v>1933</v>
      </c>
    </row>
    <row r="980" spans="10:13" ht="13" thickTop="1">
      <c r="J980" s="229" t="s">
        <v>1603</v>
      </c>
      <c r="M980" t="s">
        <v>1933</v>
      </c>
    </row>
    <row r="981" spans="10:13" ht="13" thickBot="1">
      <c r="J981" s="230" t="s">
        <v>1604</v>
      </c>
      <c r="M981" t="s">
        <v>1933</v>
      </c>
    </row>
    <row r="982" spans="10:13" ht="13" thickTop="1">
      <c r="J982" s="229" t="s">
        <v>1605</v>
      </c>
      <c r="M982" t="s">
        <v>1933</v>
      </c>
    </row>
    <row r="983" spans="10:13" ht="13" thickBot="1">
      <c r="J983" s="230" t="s">
        <v>1606</v>
      </c>
      <c r="M983" t="s">
        <v>1933</v>
      </c>
    </row>
    <row r="984" spans="10:13" ht="13" thickTop="1">
      <c r="J984" s="229" t="s">
        <v>1607</v>
      </c>
      <c r="M984" t="s">
        <v>1933</v>
      </c>
    </row>
    <row r="985" spans="10:13" ht="25.2" thickBot="1">
      <c r="J985" s="230" t="s">
        <v>602</v>
      </c>
      <c r="M985" t="s">
        <v>1933</v>
      </c>
    </row>
    <row r="986" spans="10:13" ht="13" thickTop="1">
      <c r="J986" s="229" t="s">
        <v>1608</v>
      </c>
      <c r="M986" t="s">
        <v>1933</v>
      </c>
    </row>
    <row r="987" spans="10:13" ht="13" thickBot="1">
      <c r="J987" s="230" t="s">
        <v>1609</v>
      </c>
      <c r="M987" t="s">
        <v>1933</v>
      </c>
    </row>
    <row r="988" spans="10:13" ht="13" thickTop="1">
      <c r="J988" s="229" t="s">
        <v>1610</v>
      </c>
      <c r="M988" t="s">
        <v>1933</v>
      </c>
    </row>
    <row r="989" spans="10:13" ht="13" thickBot="1">
      <c r="J989" s="230" t="s">
        <v>1611</v>
      </c>
      <c r="M989" t="s">
        <v>1933</v>
      </c>
    </row>
    <row r="990" spans="10:13" ht="13" thickTop="1">
      <c r="J990" s="229" t="s">
        <v>1612</v>
      </c>
      <c r="M990" t="s">
        <v>1933</v>
      </c>
    </row>
    <row r="991" spans="10:13" ht="13" thickBot="1">
      <c r="J991" s="230" t="s">
        <v>1613</v>
      </c>
      <c r="M991" t="s">
        <v>1933</v>
      </c>
    </row>
    <row r="992" spans="10:13" ht="13" thickTop="1">
      <c r="J992" s="229" t="s">
        <v>1614</v>
      </c>
      <c r="M992" t="s">
        <v>1933</v>
      </c>
    </row>
    <row r="993" spans="10:13" ht="13" thickBot="1">
      <c r="J993" s="230" t="s">
        <v>1615</v>
      </c>
      <c r="M993" t="s">
        <v>1933</v>
      </c>
    </row>
    <row r="994" spans="10:13" ht="13" thickTop="1">
      <c r="J994" s="229" t="s">
        <v>1616</v>
      </c>
      <c r="M994" t="s">
        <v>1933</v>
      </c>
    </row>
    <row r="995" spans="10:13" ht="13" thickBot="1">
      <c r="J995" s="230" t="s">
        <v>1617</v>
      </c>
      <c r="M995" t="s">
        <v>1933</v>
      </c>
    </row>
    <row r="996" spans="10:13" ht="13" thickTop="1">
      <c r="J996" s="229" t="s">
        <v>1618</v>
      </c>
      <c r="M996" t="s">
        <v>1933</v>
      </c>
    </row>
    <row r="997" spans="10:13" ht="13" thickBot="1">
      <c r="J997" s="230" t="s">
        <v>1619</v>
      </c>
      <c r="M997" t="s">
        <v>1933</v>
      </c>
    </row>
    <row r="998" spans="10:13" ht="13" thickTop="1">
      <c r="J998" s="229" t="s">
        <v>1620</v>
      </c>
      <c r="M998" t="s">
        <v>1933</v>
      </c>
    </row>
    <row r="999" spans="10:13" ht="13" thickBot="1">
      <c r="J999" s="230" t="s">
        <v>1621</v>
      </c>
      <c r="M999" t="s">
        <v>1933</v>
      </c>
    </row>
    <row r="1000" spans="10:13" ht="13" thickTop="1">
      <c r="J1000" s="229" t="s">
        <v>1622</v>
      </c>
      <c r="M1000" t="s">
        <v>1933</v>
      </c>
    </row>
    <row r="1001" spans="10:13" ht="13" thickBot="1">
      <c r="J1001" s="230" t="s">
        <v>1623</v>
      </c>
      <c r="M1001" t="s">
        <v>1933</v>
      </c>
    </row>
    <row r="1002" spans="10:13" ht="13" thickTop="1">
      <c r="J1002" s="229" t="s">
        <v>693</v>
      </c>
      <c r="M1002" t="s">
        <v>1933</v>
      </c>
    </row>
    <row r="1003" spans="10:13" ht="13" thickBot="1">
      <c r="J1003" s="230" t="s">
        <v>1624</v>
      </c>
      <c r="M1003" t="s">
        <v>1933</v>
      </c>
    </row>
    <row r="1004" spans="10:13" ht="13" thickTop="1">
      <c r="J1004" s="229" t="s">
        <v>1625</v>
      </c>
      <c r="M1004" t="s">
        <v>1933</v>
      </c>
    </row>
    <row r="1005" spans="10:13" ht="13" thickBot="1">
      <c r="J1005" s="230" t="s">
        <v>1626</v>
      </c>
      <c r="M1005" t="s">
        <v>1933</v>
      </c>
    </row>
    <row r="1006" spans="10:13" ht="13" thickTop="1">
      <c r="J1006" s="229" t="s">
        <v>1627</v>
      </c>
      <c r="M1006" t="s">
        <v>1933</v>
      </c>
    </row>
    <row r="1007" spans="10:13" ht="13" thickBot="1">
      <c r="J1007" s="230" t="s">
        <v>1628</v>
      </c>
      <c r="M1007" t="s">
        <v>1933</v>
      </c>
    </row>
    <row r="1008" spans="10:13" ht="13" thickTop="1">
      <c r="J1008" s="229" t="s">
        <v>1629</v>
      </c>
      <c r="M1008" t="s">
        <v>1933</v>
      </c>
    </row>
    <row r="1009" spans="10:13" ht="13" thickBot="1">
      <c r="J1009" s="230" t="s">
        <v>1630</v>
      </c>
      <c r="M1009" t="s">
        <v>1933</v>
      </c>
    </row>
    <row r="1010" spans="10:13" ht="13" thickTop="1">
      <c r="J1010" s="229" t="s">
        <v>1631</v>
      </c>
      <c r="M1010" t="s">
        <v>1933</v>
      </c>
    </row>
    <row r="1011" spans="10:13" ht="13" thickBot="1">
      <c r="J1011" s="230" t="s">
        <v>1632</v>
      </c>
      <c r="M1011" t="s">
        <v>1933</v>
      </c>
    </row>
    <row r="1012" spans="10:13" ht="13" thickTop="1">
      <c r="J1012" s="229" t="s">
        <v>1633</v>
      </c>
      <c r="M1012" t="s">
        <v>1933</v>
      </c>
    </row>
    <row r="1013" spans="10:13" ht="13" thickBot="1">
      <c r="J1013" s="230" t="s">
        <v>1634</v>
      </c>
      <c r="M1013" t="s">
        <v>1933</v>
      </c>
    </row>
    <row r="1014" spans="10:13" ht="13" thickTop="1">
      <c r="J1014" s="229" t="s">
        <v>1635</v>
      </c>
      <c r="M1014" t="s">
        <v>1933</v>
      </c>
    </row>
    <row r="1015" spans="10:13">
      <c r="J1015" s="81" t="s">
        <v>2404</v>
      </c>
      <c r="M1015" t="s">
        <v>1933</v>
      </c>
    </row>
    <row r="1016" spans="10:13">
      <c r="J1016" s="81" t="s">
        <v>84</v>
      </c>
      <c r="M1016" t="s">
        <v>1933</v>
      </c>
    </row>
    <row r="1017" spans="10:13">
      <c r="J1017" s="81" t="s">
        <v>2405</v>
      </c>
      <c r="M1017" t="s">
        <v>1933</v>
      </c>
    </row>
    <row r="1018" spans="10:13">
      <c r="J1018" s="82" t="s">
        <v>85</v>
      </c>
      <c r="M1018" t="s">
        <v>1933</v>
      </c>
    </row>
    <row r="1019" spans="10:13">
      <c r="J1019" s="81" t="s">
        <v>1940</v>
      </c>
      <c r="M1019" t="s">
        <v>1933</v>
      </c>
    </row>
    <row r="1020" spans="10:13">
      <c r="J1020" s="81" t="s">
        <v>2406</v>
      </c>
      <c r="M1020" t="s">
        <v>1933</v>
      </c>
    </row>
    <row r="1021" spans="10:13">
      <c r="J1021" s="81" t="s">
        <v>2407</v>
      </c>
      <c r="M1021" t="s">
        <v>1933</v>
      </c>
    </row>
    <row r="1022" spans="10:13">
      <c r="J1022" s="83" t="s">
        <v>2408</v>
      </c>
      <c r="M1022" t="s">
        <v>1933</v>
      </c>
    </row>
    <row r="1023" spans="10:13">
      <c r="J1023" s="83" t="s">
        <v>86</v>
      </c>
      <c r="M1023" t="s">
        <v>1933</v>
      </c>
    </row>
    <row r="1024" spans="10:13">
      <c r="J1024" s="84" t="s">
        <v>87</v>
      </c>
      <c r="M1024" t="s">
        <v>1933</v>
      </c>
    </row>
    <row r="1025" spans="10:13">
      <c r="J1025" t="s">
        <v>2409</v>
      </c>
      <c r="M1025" t="s">
        <v>1933</v>
      </c>
    </row>
    <row r="1026" spans="10:13">
      <c r="J1026" t="s">
        <v>2410</v>
      </c>
      <c r="M1026" t="s">
        <v>1933</v>
      </c>
    </row>
    <row r="1027" spans="10:13">
      <c r="J1027" t="s">
        <v>2411</v>
      </c>
      <c r="M1027" t="s">
        <v>1933</v>
      </c>
    </row>
    <row r="1028" spans="10:13">
      <c r="J1028" t="s">
        <v>1934</v>
      </c>
      <c r="M1028" t="s">
        <v>1933</v>
      </c>
    </row>
    <row r="1029" spans="10:13">
      <c r="J1029" t="s">
        <v>1638</v>
      </c>
      <c r="M1029" t="s">
        <v>1933</v>
      </c>
    </row>
    <row r="1030" spans="10:13" ht="13" thickBot="1">
      <c r="J1030" s="257" t="s">
        <v>2412</v>
      </c>
      <c r="M1030" t="s">
        <v>1933</v>
      </c>
    </row>
    <row r="1031" spans="10:13" ht="13" thickTop="1">
      <c r="J1031" s="229" t="s">
        <v>1485</v>
      </c>
      <c r="M1031" t="s">
        <v>1933</v>
      </c>
    </row>
    <row r="1032" spans="10:13">
      <c r="J1032" t="s">
        <v>1967</v>
      </c>
      <c r="M1032" t="s">
        <v>1933</v>
      </c>
    </row>
    <row r="1033" spans="10:13">
      <c r="J1033" t="s">
        <v>1971</v>
      </c>
      <c r="M1033" t="s">
        <v>1933</v>
      </c>
    </row>
    <row r="1034" spans="10:13">
      <c r="J1034" t="s">
        <v>1682</v>
      </c>
      <c r="M1034" t="s">
        <v>1933</v>
      </c>
    </row>
    <row r="1035" spans="10:13">
      <c r="J1035" t="s">
        <v>1684</v>
      </c>
      <c r="M1035" t="s">
        <v>1933</v>
      </c>
    </row>
    <row r="1036" spans="10:13">
      <c r="J1036" t="s">
        <v>1686</v>
      </c>
      <c r="M1036" t="s">
        <v>1933</v>
      </c>
    </row>
    <row r="1037" spans="10:13">
      <c r="J1037" t="s">
        <v>1687</v>
      </c>
      <c r="M1037" t="s">
        <v>1933</v>
      </c>
    </row>
    <row r="1038" spans="10:13">
      <c r="J1038" t="s">
        <v>2621</v>
      </c>
      <c r="M1038" t="s">
        <v>1933</v>
      </c>
    </row>
    <row r="1039" spans="10:13">
      <c r="J1039" t="s">
        <v>1689</v>
      </c>
      <c r="M1039" t="s">
        <v>1933</v>
      </c>
    </row>
    <row r="1040" spans="10:13">
      <c r="J1040" t="s">
        <v>1691</v>
      </c>
      <c r="M1040" t="s">
        <v>1933</v>
      </c>
    </row>
    <row r="1041" spans="10:13">
      <c r="J1041" t="s">
        <v>1693</v>
      </c>
      <c r="M1041" t="s">
        <v>1933</v>
      </c>
    </row>
    <row r="1042" spans="10:13">
      <c r="J1042" t="s">
        <v>1695</v>
      </c>
      <c r="M1042" t="s">
        <v>1933</v>
      </c>
    </row>
    <row r="1043" spans="10:13">
      <c r="J1043" t="s">
        <v>2002</v>
      </c>
      <c r="M1043" t="s">
        <v>1933</v>
      </c>
    </row>
    <row r="1044" spans="10:13">
      <c r="J1044" t="s">
        <v>2005</v>
      </c>
      <c r="M1044" t="s">
        <v>1933</v>
      </c>
    </row>
    <row r="1045" spans="10:13">
      <c r="J1045" t="s">
        <v>1473</v>
      </c>
      <c r="M1045" t="s">
        <v>1933</v>
      </c>
    </row>
    <row r="1046" spans="10:13">
      <c r="J1046" t="s">
        <v>1696</v>
      </c>
      <c r="M1046" t="s">
        <v>1933</v>
      </c>
    </row>
    <row r="1047" spans="10:13">
      <c r="J1047" t="s">
        <v>1677</v>
      </c>
      <c r="M1047" t="s">
        <v>1933</v>
      </c>
    </row>
    <row r="1048" spans="10:13">
      <c r="J1048" t="s">
        <v>2622</v>
      </c>
      <c r="M1048" t="s">
        <v>1933</v>
      </c>
    </row>
    <row r="1049" spans="10:13">
      <c r="J1049" t="s">
        <v>1697</v>
      </c>
      <c r="M1049" t="s">
        <v>1933</v>
      </c>
    </row>
    <row r="1050" spans="10:13">
      <c r="J1050" t="s">
        <v>1698</v>
      </c>
      <c r="M1050" t="s">
        <v>1933</v>
      </c>
    </row>
    <row r="1051" spans="10:13">
      <c r="J1051" t="s">
        <v>2623</v>
      </c>
      <c r="M1051" t="s">
        <v>1933</v>
      </c>
    </row>
    <row r="1052" spans="10:13">
      <c r="J1052" t="s">
        <v>1700</v>
      </c>
      <c r="M1052" t="s">
        <v>1933</v>
      </c>
    </row>
    <row r="1053" spans="10:13">
      <c r="J1053" t="s">
        <v>1702</v>
      </c>
      <c r="M1053" t="s">
        <v>1933</v>
      </c>
    </row>
    <row r="1054" spans="10:13">
      <c r="J1054" t="s">
        <v>1703</v>
      </c>
      <c r="M1054" t="s">
        <v>1933</v>
      </c>
    </row>
    <row r="1055" spans="10:13">
      <c r="J1055" t="s">
        <v>567</v>
      </c>
      <c r="M1055" t="s">
        <v>1933</v>
      </c>
    </row>
    <row r="1056" spans="10:13">
      <c r="J1056" t="s">
        <v>1680</v>
      </c>
      <c r="M1056" t="s">
        <v>1933</v>
      </c>
    </row>
    <row r="1057" spans="10:13">
      <c r="J1057" t="s">
        <v>1681</v>
      </c>
      <c r="M1057" t="s">
        <v>1933</v>
      </c>
    </row>
    <row r="1058" spans="10:13">
      <c r="J1058" t="s">
        <v>1706</v>
      </c>
      <c r="M1058" t="s">
        <v>1933</v>
      </c>
    </row>
    <row r="1059" spans="10:13" ht="13">
      <c r="J1059" s="274" t="s">
        <v>2045</v>
      </c>
      <c r="M1059" t="s">
        <v>1933</v>
      </c>
    </row>
    <row r="1060" spans="10:13">
      <c r="J1060" s="278" t="s">
        <v>2047</v>
      </c>
      <c r="M1060" t="s">
        <v>1933</v>
      </c>
    </row>
    <row r="1061" spans="10:13">
      <c r="J1061" s="285" t="s">
        <v>2048</v>
      </c>
      <c r="M1061" t="s">
        <v>1933</v>
      </c>
    </row>
    <row r="1062" spans="10:13" ht="13">
      <c r="J1062" s="282" t="s">
        <v>2052</v>
      </c>
      <c r="M1062" t="s">
        <v>1933</v>
      </c>
    </row>
    <row r="1063" spans="10:13" ht="13">
      <c r="J1063" s="276" t="s">
        <v>1711</v>
      </c>
      <c r="M1063" t="s">
        <v>1933</v>
      </c>
    </row>
    <row r="1064" spans="10:13">
      <c r="J1064" s="284" t="s">
        <v>2058</v>
      </c>
      <c r="M1064" t="s">
        <v>1933</v>
      </c>
    </row>
    <row r="1065" spans="10:13" ht="13">
      <c r="J1065" s="279" t="s">
        <v>2624</v>
      </c>
      <c r="M1065" t="s">
        <v>1933</v>
      </c>
    </row>
    <row r="1066" spans="10:13" ht="13">
      <c r="J1066" s="279" t="s">
        <v>1721</v>
      </c>
      <c r="M1066" t="s">
        <v>1933</v>
      </c>
    </row>
    <row r="1067" spans="10:13" ht="13">
      <c r="J1067" s="279" t="s">
        <v>2625</v>
      </c>
      <c r="M1067" t="s">
        <v>1933</v>
      </c>
    </row>
    <row r="1068" spans="10:13">
      <c r="J1068" s="281" t="s">
        <v>2626</v>
      </c>
      <c r="M1068" t="s">
        <v>1933</v>
      </c>
    </row>
  </sheetData>
  <mergeCells count="25">
    <mergeCell ref="S194:S197"/>
    <mergeCell ref="S198:S199"/>
    <mergeCell ref="S200:S204"/>
    <mergeCell ref="S149:S160"/>
    <mergeCell ref="S161:S163"/>
    <mergeCell ref="S164:S167"/>
    <mergeCell ref="S168:S171"/>
    <mergeCell ref="S172:S193"/>
    <mergeCell ref="S94:S97"/>
    <mergeCell ref="S98:S130"/>
    <mergeCell ref="S131:S133"/>
    <mergeCell ref="S134:S145"/>
    <mergeCell ref="S146:S147"/>
    <mergeCell ref="S87:S93"/>
    <mergeCell ref="S2:S10"/>
    <mergeCell ref="S11:S14"/>
    <mergeCell ref="S15:S21"/>
    <mergeCell ref="S83:S84"/>
    <mergeCell ref="S85:S86"/>
    <mergeCell ref="S24:S43"/>
    <mergeCell ref="S48:S53"/>
    <mergeCell ref="S54:S65"/>
    <mergeCell ref="S66:S75"/>
    <mergeCell ref="S76:S82"/>
    <mergeCell ref="S45:S46"/>
  </mergeCells>
  <phoneticPr fontId="14" type="noConversion"/>
  <dataValidations count="1">
    <dataValidation type="textLength" operator="lessThan" allowBlank="1" showInputMessage="1" showErrorMessage="1" sqref="J135:J1014 J69:J126 J1:J66 L240 N6 J1031">
      <formula1>40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226"/>
  <sheetViews>
    <sheetView topLeftCell="A211" workbookViewId="0">
      <selection activeCell="J230" sqref="J230"/>
    </sheetView>
  </sheetViews>
  <sheetFormatPr defaultRowHeight="13.7" customHeight="1"/>
  <cols>
    <col min="4" max="4" width="45.140625" customWidth="1"/>
    <col min="5" max="5" width="16.5703125" customWidth="1"/>
    <col min="6" max="6" width="16.5703125" hidden="1" customWidth="1"/>
    <col min="8" max="8" width="0" hidden="1" customWidth="1"/>
  </cols>
  <sheetData>
    <row r="1" spans="1:15" ht="13.7" customHeight="1">
      <c r="A1" s="415" t="s">
        <v>137</v>
      </c>
      <c r="B1" s="417" t="s">
        <v>138</v>
      </c>
      <c r="C1" s="417" t="s">
        <v>139</v>
      </c>
      <c r="D1" s="419" t="s">
        <v>140</v>
      </c>
      <c r="E1" s="234"/>
      <c r="F1" s="234"/>
      <c r="G1" s="402" t="s">
        <v>141</v>
      </c>
      <c r="H1" s="403"/>
      <c r="I1" s="402" t="s">
        <v>142</v>
      </c>
      <c r="J1" s="403"/>
      <c r="K1" s="404" t="s">
        <v>143</v>
      </c>
      <c r="L1" s="405"/>
      <c r="M1" s="405"/>
      <c r="N1" s="406"/>
      <c r="O1" s="407" t="s">
        <v>144</v>
      </c>
    </row>
    <row r="2" spans="1:15" ht="13.7" customHeight="1" thickBot="1">
      <c r="A2" s="416"/>
      <c r="B2" s="418"/>
      <c r="C2" s="418"/>
      <c r="D2" s="420"/>
      <c r="E2" s="255" t="s">
        <v>1641</v>
      </c>
      <c r="F2" s="255"/>
      <c r="G2" s="112" t="s">
        <v>145</v>
      </c>
      <c r="H2" s="112" t="s">
        <v>146</v>
      </c>
      <c r="I2" s="112" t="s">
        <v>145</v>
      </c>
      <c r="J2" s="113" t="s">
        <v>146</v>
      </c>
      <c r="K2" s="113" t="s">
        <v>147</v>
      </c>
      <c r="L2" s="113" t="s">
        <v>148</v>
      </c>
      <c r="M2" s="113" t="s">
        <v>149</v>
      </c>
      <c r="N2" s="113" t="s">
        <v>150</v>
      </c>
      <c r="O2" s="408"/>
    </row>
    <row r="3" spans="1:15" ht="13.7" customHeight="1" thickBot="1">
      <c r="A3" s="409" t="s">
        <v>151</v>
      </c>
      <c r="B3" s="412" t="s">
        <v>152</v>
      </c>
      <c r="C3" s="114" t="s">
        <v>151</v>
      </c>
      <c r="D3" s="222" t="s">
        <v>699</v>
      </c>
      <c r="E3" s="256" t="s">
        <v>719</v>
      </c>
      <c r="F3" s="256" t="str">
        <f>VLOOKUP(I3,参考表!F:H,3,FALSE)</f>
        <v>02001</v>
      </c>
      <c r="G3" s="115" t="s">
        <v>153</v>
      </c>
      <c r="H3" s="115" t="s">
        <v>153</v>
      </c>
      <c r="I3" s="115" t="s">
        <v>154</v>
      </c>
      <c r="J3" s="115" t="s">
        <v>154</v>
      </c>
      <c r="K3" s="115" t="s">
        <v>155</v>
      </c>
      <c r="L3" s="115" t="s">
        <v>155</v>
      </c>
      <c r="M3" s="115" t="s">
        <v>155</v>
      </c>
      <c r="N3" s="115" t="s">
        <v>155</v>
      </c>
      <c r="O3" s="116" t="s">
        <v>156</v>
      </c>
    </row>
    <row r="4" spans="1:15" ht="13.7" customHeight="1" thickBot="1">
      <c r="A4" s="410"/>
      <c r="B4" s="413"/>
      <c r="C4" s="117" t="s">
        <v>157</v>
      </c>
      <c r="D4" s="258" t="s">
        <v>1661</v>
      </c>
      <c r="E4" s="256" t="s">
        <v>721</v>
      </c>
      <c r="F4" s="256" t="str">
        <f>VLOOKUP(I4,参考表!F:H,3,FALSE)</f>
        <v>02002</v>
      </c>
      <c r="G4" s="119" t="s">
        <v>158</v>
      </c>
      <c r="H4" s="119" t="s">
        <v>158</v>
      </c>
      <c r="I4" s="119" t="s">
        <v>159</v>
      </c>
      <c r="J4" s="119" t="s">
        <v>159</v>
      </c>
      <c r="K4" s="119" t="s">
        <v>155</v>
      </c>
      <c r="L4" s="119" t="s">
        <v>155</v>
      </c>
      <c r="M4" s="119" t="s">
        <v>160</v>
      </c>
      <c r="N4" s="119" t="s">
        <v>155</v>
      </c>
      <c r="O4" s="120"/>
    </row>
    <row r="5" spans="1:15" ht="13.7" customHeight="1" thickBot="1">
      <c r="A5" s="410"/>
      <c r="B5" s="413"/>
      <c r="C5" s="121" t="s">
        <v>161</v>
      </c>
      <c r="D5" s="118" t="s">
        <v>494</v>
      </c>
      <c r="E5" s="256" t="s">
        <v>721</v>
      </c>
      <c r="F5" s="256" t="str">
        <f>VLOOKUP(I5,参考表!F:H,3,FALSE)</f>
        <v>02002</v>
      </c>
      <c r="G5" s="122" t="s">
        <v>162</v>
      </c>
      <c r="H5" s="122" t="s">
        <v>162</v>
      </c>
      <c r="I5" s="119" t="s">
        <v>159</v>
      </c>
      <c r="J5" s="119" t="s">
        <v>159</v>
      </c>
      <c r="K5" s="119" t="s">
        <v>155</v>
      </c>
      <c r="L5" s="119" t="s">
        <v>155</v>
      </c>
      <c r="M5" s="119" t="s">
        <v>155</v>
      </c>
      <c r="N5" s="119" t="s">
        <v>155</v>
      </c>
      <c r="O5" s="120"/>
    </row>
    <row r="6" spans="1:15" ht="13.7" customHeight="1" thickBot="1">
      <c r="A6" s="410"/>
      <c r="B6" s="413"/>
      <c r="C6" s="117" t="s">
        <v>163</v>
      </c>
      <c r="D6" s="221" t="s">
        <v>1636</v>
      </c>
      <c r="E6" s="256" t="s">
        <v>721</v>
      </c>
      <c r="F6" s="256" t="str">
        <f>VLOOKUP(I6,参考表!F:H,3,FALSE)</f>
        <v>02002</v>
      </c>
      <c r="G6" s="124" t="s">
        <v>164</v>
      </c>
      <c r="H6" s="124" t="s">
        <v>164</v>
      </c>
      <c r="I6" s="119" t="s">
        <v>159</v>
      </c>
      <c r="J6" s="119" t="s">
        <v>159</v>
      </c>
      <c r="K6" s="119" t="s">
        <v>160</v>
      </c>
      <c r="L6" s="119" t="s">
        <v>160</v>
      </c>
      <c r="M6" s="119" t="s">
        <v>160</v>
      </c>
      <c r="N6" s="119" t="s">
        <v>155</v>
      </c>
      <c r="O6" s="120"/>
    </row>
    <row r="7" spans="1:15" ht="13.7" customHeight="1" thickBot="1">
      <c r="A7" s="410"/>
      <c r="B7" s="413"/>
      <c r="C7" s="117" t="s">
        <v>165</v>
      </c>
      <c r="D7" s="123" t="s">
        <v>495</v>
      </c>
      <c r="E7" s="256" t="s">
        <v>721</v>
      </c>
      <c r="F7" s="256" t="str">
        <f>VLOOKUP(I7,参考表!F:H,3,FALSE)</f>
        <v>02002</v>
      </c>
      <c r="G7" s="122" t="s">
        <v>166</v>
      </c>
      <c r="H7" s="122" t="s">
        <v>166</v>
      </c>
      <c r="I7" s="122" t="s">
        <v>159</v>
      </c>
      <c r="J7" s="122" t="s">
        <v>159</v>
      </c>
      <c r="K7" s="119" t="s">
        <v>160</v>
      </c>
      <c r="L7" s="119" t="s">
        <v>160</v>
      </c>
      <c r="M7" s="119" t="s">
        <v>160</v>
      </c>
      <c r="N7" s="119" t="s">
        <v>155</v>
      </c>
      <c r="O7" s="120"/>
    </row>
    <row r="8" spans="1:15" ht="13.7" customHeight="1" thickBot="1">
      <c r="A8" s="410"/>
      <c r="B8" s="413"/>
      <c r="C8" s="117" t="s">
        <v>167</v>
      </c>
      <c r="D8" s="125" t="s">
        <v>496</v>
      </c>
      <c r="E8" s="256" t="s">
        <v>719</v>
      </c>
      <c r="F8" s="256" t="str">
        <f>VLOOKUP(I8,参考表!F:H,3,FALSE)</f>
        <v>02001</v>
      </c>
      <c r="G8" s="124" t="s">
        <v>153</v>
      </c>
      <c r="H8" s="124" t="s">
        <v>153</v>
      </c>
      <c r="I8" s="124" t="s">
        <v>154</v>
      </c>
      <c r="J8" s="124" t="s">
        <v>154</v>
      </c>
      <c r="K8" s="119" t="s">
        <v>160</v>
      </c>
      <c r="L8" s="119" t="s">
        <v>160</v>
      </c>
      <c r="M8" s="119" t="s">
        <v>160</v>
      </c>
      <c r="N8" s="119" t="s">
        <v>155</v>
      </c>
      <c r="O8" s="120"/>
    </row>
    <row r="9" spans="1:15" ht="13.7" customHeight="1" thickBot="1">
      <c r="A9" s="410"/>
      <c r="B9" s="413"/>
      <c r="C9" s="126" t="s">
        <v>168</v>
      </c>
      <c r="D9" s="123" t="s">
        <v>497</v>
      </c>
      <c r="E9" s="256" t="s">
        <v>719</v>
      </c>
      <c r="F9" s="256" t="str">
        <f>VLOOKUP(I9,参考表!F:H,3,FALSE)</f>
        <v>02001</v>
      </c>
      <c r="G9" s="127" t="s">
        <v>153</v>
      </c>
      <c r="H9" s="127" t="s">
        <v>153</v>
      </c>
      <c r="I9" s="127" t="s">
        <v>154</v>
      </c>
      <c r="J9" s="127" t="s">
        <v>154</v>
      </c>
      <c r="K9" s="119" t="s">
        <v>160</v>
      </c>
      <c r="L9" s="119" t="s">
        <v>160</v>
      </c>
      <c r="M9" s="119" t="s">
        <v>160</v>
      </c>
      <c r="N9" s="119" t="s">
        <v>155</v>
      </c>
      <c r="O9" s="120"/>
    </row>
    <row r="10" spans="1:15" ht="13.7" customHeight="1" thickBot="1">
      <c r="A10" s="410"/>
      <c r="B10" s="413"/>
      <c r="C10" s="117" t="s">
        <v>169</v>
      </c>
      <c r="D10" s="118" t="s">
        <v>498</v>
      </c>
      <c r="E10" s="222" t="s">
        <v>1650</v>
      </c>
      <c r="F10" s="256" t="str">
        <f>VLOOKUP(I10,参考表!F:H,3,FALSE)</f>
        <v>02002</v>
      </c>
      <c r="G10" s="119" t="s">
        <v>158</v>
      </c>
      <c r="H10" s="119" t="s">
        <v>158</v>
      </c>
      <c r="I10" s="128" t="s">
        <v>159</v>
      </c>
      <c r="J10" s="119" t="s">
        <v>159</v>
      </c>
      <c r="K10" s="128" t="s">
        <v>160</v>
      </c>
      <c r="L10" s="128" t="s">
        <v>160</v>
      </c>
      <c r="M10" s="128" t="s">
        <v>155</v>
      </c>
      <c r="N10" s="128" t="s">
        <v>160</v>
      </c>
      <c r="O10" s="129"/>
    </row>
    <row r="11" spans="1:15" ht="13.7" customHeight="1" thickBot="1">
      <c r="A11" s="410"/>
      <c r="B11" s="413"/>
      <c r="C11" s="121" t="s">
        <v>170</v>
      </c>
      <c r="D11" s="130" t="s">
        <v>499</v>
      </c>
      <c r="E11" s="256" t="s">
        <v>102</v>
      </c>
      <c r="F11" s="256" t="str">
        <f>VLOOKUP(I11,参考表!F:H,3,FALSE)</f>
        <v>06000</v>
      </c>
      <c r="G11" s="128" t="s">
        <v>171</v>
      </c>
      <c r="H11" s="128" t="s">
        <v>171</v>
      </c>
      <c r="I11" s="128" t="s">
        <v>172</v>
      </c>
      <c r="J11" s="131" t="s">
        <v>172</v>
      </c>
      <c r="K11" s="128" t="s">
        <v>155</v>
      </c>
      <c r="L11" s="128" t="s">
        <v>160</v>
      </c>
      <c r="M11" s="128" t="s">
        <v>155</v>
      </c>
      <c r="N11" s="128" t="s">
        <v>155</v>
      </c>
      <c r="O11" s="129"/>
    </row>
    <row r="12" spans="1:15" ht="13.7" customHeight="1" thickBot="1">
      <c r="A12" s="410"/>
      <c r="B12" s="413"/>
      <c r="C12" s="117" t="s">
        <v>173</v>
      </c>
      <c r="D12" s="130" t="s">
        <v>500</v>
      </c>
      <c r="E12" s="256" t="s">
        <v>102</v>
      </c>
      <c r="F12" s="256" t="str">
        <f>VLOOKUP(I12,参考表!F:H,3,FALSE)</f>
        <v>06000</v>
      </c>
      <c r="G12" s="128" t="s">
        <v>171</v>
      </c>
      <c r="H12" s="128" t="s">
        <v>171</v>
      </c>
      <c r="I12" s="128" t="s">
        <v>172</v>
      </c>
      <c r="J12" s="131" t="s">
        <v>172</v>
      </c>
      <c r="K12" s="128" t="s">
        <v>155</v>
      </c>
      <c r="L12" s="128" t="s">
        <v>160</v>
      </c>
      <c r="M12" s="128" t="s">
        <v>155</v>
      </c>
      <c r="N12" s="128" t="s">
        <v>155</v>
      </c>
      <c r="O12" s="129"/>
    </row>
    <row r="13" spans="1:15" ht="13.7" customHeight="1" thickBot="1">
      <c r="A13" s="410"/>
      <c r="B13" s="413"/>
      <c r="C13" s="117" t="s">
        <v>174</v>
      </c>
      <c r="D13" s="130" t="s">
        <v>501</v>
      </c>
      <c r="E13" s="256" t="s">
        <v>102</v>
      </c>
      <c r="F13" s="256" t="str">
        <f>VLOOKUP(I13,参考表!F:H,3,FALSE)</f>
        <v>06000</v>
      </c>
      <c r="G13" s="128" t="s">
        <v>171</v>
      </c>
      <c r="H13" s="128" t="s">
        <v>171</v>
      </c>
      <c r="I13" s="128" t="s">
        <v>172</v>
      </c>
      <c r="J13" s="128" t="s">
        <v>172</v>
      </c>
      <c r="K13" s="128" t="s">
        <v>155</v>
      </c>
      <c r="L13" s="128" t="s">
        <v>160</v>
      </c>
      <c r="M13" s="128" t="s">
        <v>155</v>
      </c>
      <c r="N13" s="128" t="s">
        <v>155</v>
      </c>
      <c r="O13" s="129"/>
    </row>
    <row r="14" spans="1:15" ht="13.7" customHeight="1" thickBot="1">
      <c r="A14" s="410"/>
      <c r="B14" s="413"/>
      <c r="C14" s="117" t="s">
        <v>175</v>
      </c>
      <c r="D14" s="130" t="s">
        <v>502</v>
      </c>
      <c r="E14" s="222" t="s">
        <v>1640</v>
      </c>
      <c r="F14" s="222" t="s">
        <v>1640</v>
      </c>
      <c r="G14" s="128" t="s">
        <v>176</v>
      </c>
      <c r="H14" s="128" t="s">
        <v>176</v>
      </c>
      <c r="I14" s="128" t="s">
        <v>1642</v>
      </c>
      <c r="J14" s="128" t="s">
        <v>178</v>
      </c>
      <c r="K14" s="128" t="s">
        <v>160</v>
      </c>
      <c r="L14" s="128" t="s">
        <v>160</v>
      </c>
      <c r="M14" s="128" t="s">
        <v>155</v>
      </c>
      <c r="N14" s="128" t="s">
        <v>160</v>
      </c>
      <c r="O14" s="129"/>
    </row>
    <row r="15" spans="1:15" ht="13.7" customHeight="1" thickBot="1">
      <c r="A15" s="410"/>
      <c r="B15" s="413"/>
      <c r="C15" s="126" t="s">
        <v>179</v>
      </c>
      <c r="D15" s="130" t="s">
        <v>503</v>
      </c>
      <c r="E15" s="222" t="s">
        <v>1640</v>
      </c>
      <c r="F15" s="256" t="str">
        <f>VLOOKUP(I15,参考表!F:H,3,FALSE)</f>
        <v>08002</v>
      </c>
      <c r="G15" s="128" t="s">
        <v>176</v>
      </c>
      <c r="H15" s="128" t="s">
        <v>176</v>
      </c>
      <c r="I15" s="128" t="s">
        <v>177</v>
      </c>
      <c r="J15" s="128" t="s">
        <v>177</v>
      </c>
      <c r="K15" s="128" t="s">
        <v>160</v>
      </c>
      <c r="L15" s="128" t="s">
        <v>160</v>
      </c>
      <c r="M15" s="128" t="s">
        <v>155</v>
      </c>
      <c r="N15" s="128" t="s">
        <v>160</v>
      </c>
      <c r="O15" s="129"/>
    </row>
    <row r="16" spans="1:15" ht="13.7" customHeight="1" thickBot="1">
      <c r="A16" s="410"/>
      <c r="B16" s="413"/>
      <c r="C16" s="117" t="s">
        <v>180</v>
      </c>
      <c r="D16" s="130" t="s">
        <v>504</v>
      </c>
      <c r="E16" s="222" t="s">
        <v>1771</v>
      </c>
      <c r="F16" s="222" t="s">
        <v>1771</v>
      </c>
      <c r="G16" s="128" t="s">
        <v>1772</v>
      </c>
      <c r="H16" s="128" t="s">
        <v>1772</v>
      </c>
      <c r="I16" s="128" t="s">
        <v>1654</v>
      </c>
      <c r="J16" s="128" t="s">
        <v>178</v>
      </c>
      <c r="K16" s="128" t="s">
        <v>155</v>
      </c>
      <c r="L16" s="128" t="s">
        <v>160</v>
      </c>
      <c r="M16" s="128" t="s">
        <v>160</v>
      </c>
      <c r="N16" s="128" t="s">
        <v>155</v>
      </c>
      <c r="O16" s="129"/>
    </row>
    <row r="17" spans="1:15" ht="13.7" customHeight="1" thickBot="1">
      <c r="A17" s="410"/>
      <c r="B17" s="413"/>
      <c r="C17" s="117" t="s">
        <v>181</v>
      </c>
      <c r="D17" s="257" t="s">
        <v>1707</v>
      </c>
      <c r="E17" s="256" t="s">
        <v>724</v>
      </c>
      <c r="F17" s="256" t="str">
        <f>VLOOKUP(I17,参考表!F:H,3,FALSE)</f>
        <v>02004</v>
      </c>
      <c r="G17" s="128" t="s">
        <v>182</v>
      </c>
      <c r="H17" s="128" t="s">
        <v>182</v>
      </c>
      <c r="I17" s="128" t="s">
        <v>183</v>
      </c>
      <c r="J17" s="128" t="s">
        <v>183</v>
      </c>
      <c r="K17" s="128" t="s">
        <v>155</v>
      </c>
      <c r="L17" s="128" t="s">
        <v>155</v>
      </c>
      <c r="M17" s="128" t="s">
        <v>160</v>
      </c>
      <c r="N17" s="128" t="s">
        <v>155</v>
      </c>
      <c r="O17" s="129"/>
    </row>
    <row r="18" spans="1:15" ht="13.7" customHeight="1" thickBot="1">
      <c r="A18" s="410"/>
      <c r="B18" s="413"/>
      <c r="C18" s="126" t="s">
        <v>184</v>
      </c>
      <c r="D18" s="130" t="s">
        <v>506</v>
      </c>
      <c r="E18" s="256" t="s">
        <v>103</v>
      </c>
      <c r="F18" s="256" t="str">
        <f>VLOOKUP(I18,参考表!F:H,3,FALSE)</f>
        <v>07000</v>
      </c>
      <c r="G18" s="128" t="s">
        <v>185</v>
      </c>
      <c r="H18" s="128" t="s">
        <v>185</v>
      </c>
      <c r="I18" s="128" t="s">
        <v>186</v>
      </c>
      <c r="J18" s="128" t="s">
        <v>187</v>
      </c>
      <c r="K18" s="128" t="s">
        <v>155</v>
      </c>
      <c r="L18" s="128" t="s">
        <v>155</v>
      </c>
      <c r="M18" s="128" t="s">
        <v>160</v>
      </c>
      <c r="N18" s="128" t="s">
        <v>155</v>
      </c>
      <c r="O18" s="129"/>
    </row>
    <row r="19" spans="1:15" ht="13.7" customHeight="1" thickBot="1">
      <c r="A19" s="410"/>
      <c r="B19" s="413"/>
      <c r="C19" s="117" t="s">
        <v>188</v>
      </c>
      <c r="D19" s="130" t="s">
        <v>507</v>
      </c>
      <c r="E19" s="256" t="s">
        <v>103</v>
      </c>
      <c r="F19" s="256" t="str">
        <f>VLOOKUP(I19,参考表!F:H,3,FALSE)</f>
        <v>07000</v>
      </c>
      <c r="G19" s="128" t="s">
        <v>185</v>
      </c>
      <c r="H19" s="128" t="s">
        <v>185</v>
      </c>
      <c r="I19" s="128" t="s">
        <v>186</v>
      </c>
      <c r="J19" s="128" t="s">
        <v>186</v>
      </c>
      <c r="K19" s="128" t="s">
        <v>155</v>
      </c>
      <c r="L19" s="128" t="s">
        <v>155</v>
      </c>
      <c r="M19" s="128" t="s">
        <v>160</v>
      </c>
      <c r="N19" s="128" t="s">
        <v>155</v>
      </c>
      <c r="O19" s="129"/>
    </row>
    <row r="20" spans="1:15" ht="13.7" customHeight="1" thickBot="1">
      <c r="A20" s="411"/>
      <c r="B20" s="414"/>
      <c r="C20" s="117" t="s">
        <v>189</v>
      </c>
      <c r="D20" s="132" t="s">
        <v>508</v>
      </c>
      <c r="E20" s="222" t="s">
        <v>1640</v>
      </c>
      <c r="F20" s="222" t="s">
        <v>1640</v>
      </c>
      <c r="G20" s="128" t="s">
        <v>1653</v>
      </c>
      <c r="H20" s="128" t="s">
        <v>1653</v>
      </c>
      <c r="I20" s="128" t="s">
        <v>186</v>
      </c>
      <c r="J20" s="128" t="s">
        <v>187</v>
      </c>
      <c r="K20" s="133" t="s">
        <v>160</v>
      </c>
      <c r="L20" s="133" t="s">
        <v>160</v>
      </c>
      <c r="M20" s="133" t="s">
        <v>155</v>
      </c>
      <c r="N20" s="133" t="s">
        <v>160</v>
      </c>
      <c r="O20" s="134"/>
    </row>
    <row r="21" spans="1:15" ht="13.7" customHeight="1" thickBot="1">
      <c r="A21" s="409" t="s">
        <v>157</v>
      </c>
      <c r="B21" s="412" t="s">
        <v>190</v>
      </c>
      <c r="C21" s="114" t="s">
        <v>191</v>
      </c>
      <c r="D21" s="135" t="s">
        <v>509</v>
      </c>
      <c r="E21" s="222" t="s">
        <v>1708</v>
      </c>
      <c r="F21" s="222" t="s">
        <v>1708</v>
      </c>
      <c r="G21" s="136" t="s">
        <v>192</v>
      </c>
      <c r="H21" s="136" t="s">
        <v>192</v>
      </c>
      <c r="I21" s="136" t="s">
        <v>193</v>
      </c>
      <c r="J21" s="136" t="s">
        <v>193</v>
      </c>
      <c r="K21" s="137" t="s">
        <v>155</v>
      </c>
      <c r="L21" s="137" t="s">
        <v>155</v>
      </c>
      <c r="M21" s="137" t="s">
        <v>155</v>
      </c>
      <c r="N21" s="137" t="s">
        <v>155</v>
      </c>
      <c r="O21" s="138" t="s">
        <v>194</v>
      </c>
    </row>
    <row r="22" spans="1:15" ht="13.7" customHeight="1" thickBot="1">
      <c r="A22" s="410"/>
      <c r="B22" s="413"/>
      <c r="C22" s="117" t="s">
        <v>195</v>
      </c>
      <c r="D22" s="123" t="s">
        <v>510</v>
      </c>
      <c r="E22" s="222" t="s">
        <v>1708</v>
      </c>
      <c r="F22" s="222" t="s">
        <v>1708</v>
      </c>
      <c r="G22" s="119" t="s">
        <v>192</v>
      </c>
      <c r="H22" s="119" t="s">
        <v>192</v>
      </c>
      <c r="I22" s="119" t="s">
        <v>193</v>
      </c>
      <c r="J22" s="119" t="s">
        <v>193</v>
      </c>
      <c r="K22" s="119" t="s">
        <v>160</v>
      </c>
      <c r="L22" s="119" t="s">
        <v>160</v>
      </c>
      <c r="M22" s="119" t="s">
        <v>160</v>
      </c>
      <c r="N22" s="119" t="s">
        <v>155</v>
      </c>
      <c r="O22" s="139"/>
    </row>
    <row r="23" spans="1:15" ht="13.7" customHeight="1" thickBot="1">
      <c r="A23" s="410"/>
      <c r="B23" s="413"/>
      <c r="C23" s="121" t="s">
        <v>196</v>
      </c>
      <c r="D23" s="123" t="s">
        <v>511</v>
      </c>
      <c r="E23" s="222" t="s">
        <v>1708</v>
      </c>
      <c r="F23" s="222" t="s">
        <v>1708</v>
      </c>
      <c r="G23" s="140" t="s">
        <v>192</v>
      </c>
      <c r="H23" s="140" t="s">
        <v>192</v>
      </c>
      <c r="I23" s="119" t="s">
        <v>193</v>
      </c>
      <c r="J23" s="119" t="s">
        <v>193</v>
      </c>
      <c r="K23" s="119" t="s">
        <v>160</v>
      </c>
      <c r="L23" s="119" t="s">
        <v>160</v>
      </c>
      <c r="M23" s="119" t="s">
        <v>160</v>
      </c>
      <c r="N23" s="119" t="s">
        <v>155</v>
      </c>
      <c r="O23" s="139"/>
    </row>
    <row r="24" spans="1:15" ht="13.7" customHeight="1" thickBot="1">
      <c r="A24" s="410"/>
      <c r="B24" s="413"/>
      <c r="C24" s="117" t="s">
        <v>197</v>
      </c>
      <c r="D24" s="141" t="s">
        <v>512</v>
      </c>
      <c r="E24" s="222" t="s">
        <v>1708</v>
      </c>
      <c r="F24" s="222" t="s">
        <v>1708</v>
      </c>
      <c r="G24" s="119" t="s">
        <v>198</v>
      </c>
      <c r="H24" s="119" t="s">
        <v>198</v>
      </c>
      <c r="I24" s="119" t="s">
        <v>193</v>
      </c>
      <c r="J24" s="119" t="s">
        <v>193</v>
      </c>
      <c r="K24" s="119" t="s">
        <v>155</v>
      </c>
      <c r="L24" s="119" t="s">
        <v>155</v>
      </c>
      <c r="M24" s="119" t="s">
        <v>155</v>
      </c>
      <c r="N24" s="119" t="s">
        <v>155</v>
      </c>
      <c r="O24" s="129" t="s">
        <v>199</v>
      </c>
    </row>
    <row r="25" spans="1:15" ht="13.7" customHeight="1" thickBot="1">
      <c r="A25" s="410"/>
      <c r="B25" s="413"/>
      <c r="C25" s="117" t="s">
        <v>200</v>
      </c>
      <c r="D25" s="141" t="s">
        <v>512</v>
      </c>
      <c r="E25" s="222" t="s">
        <v>1708</v>
      </c>
      <c r="F25" s="222" t="s">
        <v>1708</v>
      </c>
      <c r="G25" s="119" t="s">
        <v>198</v>
      </c>
      <c r="H25" s="119" t="s">
        <v>198</v>
      </c>
      <c r="I25" s="119" t="s">
        <v>193</v>
      </c>
      <c r="J25" s="119" t="s">
        <v>193</v>
      </c>
      <c r="K25" s="119" t="s">
        <v>155</v>
      </c>
      <c r="L25" s="119" t="s">
        <v>155</v>
      </c>
      <c r="M25" s="119" t="s">
        <v>155</v>
      </c>
      <c r="N25" s="119" t="s">
        <v>155</v>
      </c>
      <c r="O25" s="129" t="s">
        <v>199</v>
      </c>
    </row>
    <row r="26" spans="1:15" ht="13.7" customHeight="1" thickBot="1">
      <c r="A26" s="410"/>
      <c r="B26" s="413"/>
      <c r="C26" s="117" t="s">
        <v>201</v>
      </c>
      <c r="D26" s="142" t="s">
        <v>513</v>
      </c>
      <c r="E26" s="222" t="s">
        <v>1708</v>
      </c>
      <c r="F26" s="222" t="s">
        <v>1708</v>
      </c>
      <c r="G26" s="119" t="s">
        <v>198</v>
      </c>
      <c r="H26" s="119" t="s">
        <v>198</v>
      </c>
      <c r="I26" s="119" t="s">
        <v>193</v>
      </c>
      <c r="J26" s="119" t="s">
        <v>193</v>
      </c>
      <c r="K26" s="119" t="s">
        <v>155</v>
      </c>
      <c r="L26" s="119" t="s">
        <v>155</v>
      </c>
      <c r="M26" s="119" t="s">
        <v>155</v>
      </c>
      <c r="N26" s="119" t="s">
        <v>155</v>
      </c>
      <c r="O26" s="129"/>
    </row>
    <row r="27" spans="1:15" ht="13.7" customHeight="1" thickBot="1">
      <c r="A27" s="410"/>
      <c r="B27" s="413"/>
      <c r="C27" s="126" t="s">
        <v>203</v>
      </c>
      <c r="D27" s="130" t="s">
        <v>514</v>
      </c>
      <c r="E27" s="222" t="s">
        <v>1708</v>
      </c>
      <c r="F27" s="222" t="s">
        <v>1708</v>
      </c>
      <c r="G27" s="119" t="s">
        <v>204</v>
      </c>
      <c r="H27" s="119" t="s">
        <v>204</v>
      </c>
      <c r="I27" s="119" t="s">
        <v>193</v>
      </c>
      <c r="J27" s="119" t="s">
        <v>193</v>
      </c>
      <c r="K27" s="119" t="s">
        <v>155</v>
      </c>
      <c r="L27" s="119" t="s">
        <v>155</v>
      </c>
      <c r="M27" s="119" t="s">
        <v>155</v>
      </c>
      <c r="N27" s="119" t="s">
        <v>160</v>
      </c>
      <c r="O27" s="129"/>
    </row>
    <row r="28" spans="1:15" ht="13.7" customHeight="1" thickBot="1">
      <c r="A28" s="410"/>
      <c r="B28" s="413"/>
      <c r="C28" s="117" t="s">
        <v>205</v>
      </c>
      <c r="D28" s="130" t="s">
        <v>515</v>
      </c>
      <c r="E28" s="222" t="s">
        <v>1773</v>
      </c>
      <c r="F28" s="222" t="s">
        <v>1773</v>
      </c>
      <c r="G28" s="128" t="s">
        <v>206</v>
      </c>
      <c r="H28" s="128" t="s">
        <v>206</v>
      </c>
      <c r="I28" s="119" t="s">
        <v>207</v>
      </c>
      <c r="J28" s="119" t="s">
        <v>207</v>
      </c>
      <c r="K28" s="119" t="s">
        <v>160</v>
      </c>
      <c r="L28" s="119" t="s">
        <v>160</v>
      </c>
      <c r="M28" s="119" t="s">
        <v>155</v>
      </c>
      <c r="N28" s="119" t="s">
        <v>160</v>
      </c>
      <c r="O28" s="144" t="s">
        <v>208</v>
      </c>
    </row>
    <row r="29" spans="1:15" ht="13.7" customHeight="1" thickBot="1">
      <c r="A29" s="410"/>
      <c r="B29" s="413"/>
      <c r="C29" s="121" t="s">
        <v>209</v>
      </c>
      <c r="D29" s="130" t="s">
        <v>516</v>
      </c>
      <c r="E29" s="222" t="s">
        <v>1773</v>
      </c>
      <c r="F29" s="222" t="s">
        <v>1773</v>
      </c>
      <c r="G29" s="128" t="s">
        <v>206</v>
      </c>
      <c r="H29" s="128" t="s">
        <v>206</v>
      </c>
      <c r="I29" s="119" t="s">
        <v>207</v>
      </c>
      <c r="J29" s="119" t="s">
        <v>207</v>
      </c>
      <c r="K29" s="119" t="s">
        <v>155</v>
      </c>
      <c r="L29" s="119" t="s">
        <v>155</v>
      </c>
      <c r="M29" s="119" t="s">
        <v>155</v>
      </c>
      <c r="N29" s="119" t="s">
        <v>155</v>
      </c>
      <c r="O29" s="145" t="s">
        <v>210</v>
      </c>
    </row>
    <row r="30" spans="1:15" ht="13.7" customHeight="1" thickBot="1">
      <c r="A30" s="410"/>
      <c r="B30" s="413"/>
      <c r="C30" s="117" t="s">
        <v>211</v>
      </c>
      <c r="D30" s="141" t="s">
        <v>517</v>
      </c>
      <c r="E30" s="222" t="s">
        <v>1773</v>
      </c>
      <c r="F30" s="222" t="s">
        <v>1773</v>
      </c>
      <c r="G30" s="128" t="s">
        <v>212</v>
      </c>
      <c r="H30" s="119" t="s">
        <v>212</v>
      </c>
      <c r="I30" s="119" t="s">
        <v>207</v>
      </c>
      <c r="J30" s="119" t="s">
        <v>207</v>
      </c>
      <c r="K30" s="119" t="s">
        <v>155</v>
      </c>
      <c r="L30" s="119" t="s">
        <v>155</v>
      </c>
      <c r="M30" s="119" t="s">
        <v>155</v>
      </c>
      <c r="N30" s="119" t="s">
        <v>155</v>
      </c>
      <c r="O30" s="145"/>
    </row>
    <row r="31" spans="1:15" ht="13.7" customHeight="1" thickBot="1">
      <c r="A31" s="410"/>
      <c r="B31" s="413"/>
      <c r="C31" s="117" t="s">
        <v>213</v>
      </c>
      <c r="D31" s="130" t="s">
        <v>516</v>
      </c>
      <c r="E31" s="222" t="s">
        <v>1773</v>
      </c>
      <c r="F31" s="222" t="s">
        <v>1773</v>
      </c>
      <c r="G31" s="128" t="s">
        <v>206</v>
      </c>
      <c r="H31" s="128" t="s">
        <v>206</v>
      </c>
      <c r="I31" s="119" t="s">
        <v>207</v>
      </c>
      <c r="J31" s="119" t="s">
        <v>207</v>
      </c>
      <c r="K31" s="119" t="s">
        <v>155</v>
      </c>
      <c r="L31" s="119" t="s">
        <v>155</v>
      </c>
      <c r="M31" s="119" t="s">
        <v>155</v>
      </c>
      <c r="N31" s="119" t="s">
        <v>155</v>
      </c>
      <c r="O31" s="145" t="s">
        <v>210</v>
      </c>
    </row>
    <row r="32" spans="1:15" ht="13.7" customHeight="1" thickBot="1">
      <c r="A32" s="410"/>
      <c r="B32" s="413"/>
      <c r="C32" s="117" t="s">
        <v>214</v>
      </c>
      <c r="D32" s="141" t="s">
        <v>517</v>
      </c>
      <c r="E32" s="222" t="s">
        <v>1773</v>
      </c>
      <c r="F32" s="222" t="s">
        <v>1773</v>
      </c>
      <c r="G32" s="128" t="s">
        <v>212</v>
      </c>
      <c r="H32" s="119" t="s">
        <v>212</v>
      </c>
      <c r="I32" s="119" t="s">
        <v>207</v>
      </c>
      <c r="J32" s="119" t="s">
        <v>207</v>
      </c>
      <c r="K32" s="119" t="s">
        <v>155</v>
      </c>
      <c r="L32" s="119" t="s">
        <v>155</v>
      </c>
      <c r="M32" s="119" t="s">
        <v>155</v>
      </c>
      <c r="N32" s="119" t="s">
        <v>155</v>
      </c>
      <c r="O32" s="145"/>
    </row>
    <row r="33" spans="1:15" ht="13.7" customHeight="1" thickBot="1">
      <c r="A33" s="410"/>
      <c r="B33" s="413"/>
      <c r="C33" s="126" t="s">
        <v>215</v>
      </c>
      <c r="D33" s="141" t="s">
        <v>518</v>
      </c>
      <c r="E33" s="256" t="s">
        <v>102</v>
      </c>
      <c r="F33" s="256" t="str">
        <f>VLOOKUP(I33,参考表!F:H,3,FALSE)</f>
        <v>06000</v>
      </c>
      <c r="G33" s="119" t="s">
        <v>216</v>
      </c>
      <c r="H33" s="119" t="s">
        <v>216</v>
      </c>
      <c r="I33" s="128" t="s">
        <v>172</v>
      </c>
      <c r="J33" s="119" t="s">
        <v>172</v>
      </c>
      <c r="K33" s="119" t="s">
        <v>155</v>
      </c>
      <c r="L33" s="119" t="s">
        <v>155</v>
      </c>
      <c r="M33" s="119" t="s">
        <v>155</v>
      </c>
      <c r="N33" s="119" t="s">
        <v>155</v>
      </c>
      <c r="O33" s="145"/>
    </row>
    <row r="34" spans="1:15" ht="13.7" customHeight="1" thickBot="1">
      <c r="A34" s="410"/>
      <c r="B34" s="413"/>
      <c r="C34" s="117" t="s">
        <v>217</v>
      </c>
      <c r="D34" s="146" t="s">
        <v>519</v>
      </c>
      <c r="E34" s="222" t="s">
        <v>1708</v>
      </c>
      <c r="F34" s="222" t="s">
        <v>1708</v>
      </c>
      <c r="G34" s="128" t="s">
        <v>202</v>
      </c>
      <c r="H34" s="147" t="s">
        <v>202</v>
      </c>
      <c r="I34" s="128" t="s">
        <v>218</v>
      </c>
      <c r="J34" s="119" t="s">
        <v>218</v>
      </c>
      <c r="K34" s="119" t="s">
        <v>155</v>
      </c>
      <c r="L34" s="119" t="s">
        <v>155</v>
      </c>
      <c r="M34" s="119" t="s">
        <v>155</v>
      </c>
      <c r="N34" s="119" t="s">
        <v>155</v>
      </c>
      <c r="O34" s="145" t="s">
        <v>219</v>
      </c>
    </row>
    <row r="35" spans="1:15" ht="13.7" customHeight="1" thickBot="1">
      <c r="A35" s="410"/>
      <c r="B35" s="413"/>
      <c r="C35" s="121" t="s">
        <v>220</v>
      </c>
      <c r="D35" s="123" t="s">
        <v>520</v>
      </c>
      <c r="E35" s="222" t="s">
        <v>1708</v>
      </c>
      <c r="F35" s="222" t="s">
        <v>1708</v>
      </c>
      <c r="G35" s="147" t="s">
        <v>202</v>
      </c>
      <c r="H35" s="147" t="s">
        <v>202</v>
      </c>
      <c r="I35" s="128" t="s">
        <v>218</v>
      </c>
      <c r="J35" s="119" t="s">
        <v>218</v>
      </c>
      <c r="K35" s="119" t="s">
        <v>160</v>
      </c>
      <c r="L35" s="119" t="s">
        <v>160</v>
      </c>
      <c r="M35" s="119" t="s">
        <v>160</v>
      </c>
      <c r="N35" s="119" t="s">
        <v>155</v>
      </c>
      <c r="O35" s="145"/>
    </row>
    <row r="36" spans="1:15" ht="13.7" customHeight="1" thickBot="1">
      <c r="A36" s="410"/>
      <c r="B36" s="413"/>
      <c r="C36" s="117" t="s">
        <v>221</v>
      </c>
      <c r="D36" s="123" t="s">
        <v>1774</v>
      </c>
      <c r="E36" s="222" t="s">
        <v>1708</v>
      </c>
      <c r="F36" s="222" t="s">
        <v>1708</v>
      </c>
      <c r="G36" s="147" t="s">
        <v>202</v>
      </c>
      <c r="H36" s="147" t="s">
        <v>202</v>
      </c>
      <c r="I36" s="128" t="s">
        <v>218</v>
      </c>
      <c r="J36" s="119" t="s">
        <v>218</v>
      </c>
      <c r="K36" s="119" t="s">
        <v>160</v>
      </c>
      <c r="L36" s="119" t="s">
        <v>160</v>
      </c>
      <c r="M36" s="119" t="s">
        <v>160</v>
      </c>
      <c r="N36" s="119" t="s">
        <v>155</v>
      </c>
      <c r="O36" s="145"/>
    </row>
    <row r="37" spans="1:15" ht="13.7" customHeight="1" thickBot="1">
      <c r="A37" s="410"/>
      <c r="B37" s="413"/>
      <c r="C37" s="117" t="s">
        <v>222</v>
      </c>
      <c r="D37" s="123" t="s">
        <v>522</v>
      </c>
      <c r="E37" s="222" t="s">
        <v>1708</v>
      </c>
      <c r="F37" s="222" t="s">
        <v>1708</v>
      </c>
      <c r="G37" s="147" t="s">
        <v>202</v>
      </c>
      <c r="H37" s="147" t="s">
        <v>202</v>
      </c>
      <c r="I37" s="128" t="s">
        <v>218</v>
      </c>
      <c r="J37" s="119" t="s">
        <v>218</v>
      </c>
      <c r="K37" s="119" t="s">
        <v>160</v>
      </c>
      <c r="L37" s="119" t="s">
        <v>160</v>
      </c>
      <c r="M37" s="119" t="s">
        <v>160</v>
      </c>
      <c r="N37" s="119" t="s">
        <v>155</v>
      </c>
      <c r="O37" s="145"/>
    </row>
    <row r="38" spans="1:15" ht="13.7" customHeight="1" thickBot="1">
      <c r="A38" s="410"/>
      <c r="B38" s="413"/>
      <c r="C38" s="117" t="s">
        <v>223</v>
      </c>
      <c r="D38" s="123" t="s">
        <v>523</v>
      </c>
      <c r="E38" s="222" t="s">
        <v>1708</v>
      </c>
      <c r="F38" s="222" t="s">
        <v>1708</v>
      </c>
      <c r="G38" s="147" t="s">
        <v>202</v>
      </c>
      <c r="H38" s="147" t="s">
        <v>202</v>
      </c>
      <c r="I38" s="128" t="s">
        <v>218</v>
      </c>
      <c r="J38" s="119" t="s">
        <v>218</v>
      </c>
      <c r="K38" s="119" t="s">
        <v>160</v>
      </c>
      <c r="L38" s="119" t="s">
        <v>160</v>
      </c>
      <c r="M38" s="119" t="s">
        <v>160</v>
      </c>
      <c r="N38" s="119" t="s">
        <v>155</v>
      </c>
      <c r="O38" s="145"/>
    </row>
    <row r="39" spans="1:15" ht="13.7" customHeight="1" thickBot="1">
      <c r="A39" s="410"/>
      <c r="B39" s="413"/>
      <c r="C39" s="126" t="s">
        <v>224</v>
      </c>
      <c r="D39" s="141" t="s">
        <v>524</v>
      </c>
      <c r="E39" s="256" t="s">
        <v>104</v>
      </c>
      <c r="F39" s="256" t="str">
        <f>VLOOKUP(I39,参考表!F:H,3,FALSE)</f>
        <v>09001</v>
      </c>
      <c r="G39" s="119" t="s">
        <v>225</v>
      </c>
      <c r="H39" s="119" t="s">
        <v>225</v>
      </c>
      <c r="I39" s="119" t="s">
        <v>226</v>
      </c>
      <c r="J39" s="119" t="s">
        <v>226</v>
      </c>
      <c r="K39" s="119" t="s">
        <v>155</v>
      </c>
      <c r="L39" s="119" t="s">
        <v>155</v>
      </c>
      <c r="M39" s="119" t="s">
        <v>155</v>
      </c>
      <c r="N39" s="119" t="s">
        <v>155</v>
      </c>
      <c r="O39" s="129" t="s">
        <v>227</v>
      </c>
    </row>
    <row r="40" spans="1:15" ht="13.7" customHeight="1" thickBot="1">
      <c r="A40" s="410"/>
      <c r="B40" s="413"/>
      <c r="C40" s="117" t="s">
        <v>228</v>
      </c>
      <c r="D40" s="148" t="s">
        <v>525</v>
      </c>
      <c r="E40" s="256" t="s">
        <v>944</v>
      </c>
      <c r="F40" s="256" t="str">
        <f>VLOOKUP(I40,参考表!F:H,3,FALSE)</f>
        <v>15000</v>
      </c>
      <c r="G40" s="119" t="s">
        <v>229</v>
      </c>
      <c r="H40" s="119" t="s">
        <v>229</v>
      </c>
      <c r="I40" s="119" t="s">
        <v>230</v>
      </c>
      <c r="J40" s="119" t="s">
        <v>230</v>
      </c>
      <c r="K40" s="119" t="s">
        <v>160</v>
      </c>
      <c r="L40" s="119" t="s">
        <v>160</v>
      </c>
      <c r="M40" s="119" t="s">
        <v>160</v>
      </c>
      <c r="N40" s="119" t="s">
        <v>155</v>
      </c>
      <c r="O40" s="149"/>
    </row>
    <row r="41" spans="1:15" ht="13.7" customHeight="1" thickBot="1">
      <c r="A41" s="410"/>
      <c r="B41" s="413"/>
      <c r="C41" s="121" t="s">
        <v>231</v>
      </c>
      <c r="D41" s="141" t="s">
        <v>525</v>
      </c>
      <c r="E41" s="256" t="s">
        <v>944</v>
      </c>
      <c r="F41" s="256" t="str">
        <f>VLOOKUP(I41,参考表!F:H,3,FALSE)</f>
        <v>15000</v>
      </c>
      <c r="G41" s="119" t="s">
        <v>229</v>
      </c>
      <c r="H41" s="119" t="s">
        <v>229</v>
      </c>
      <c r="I41" s="119" t="s">
        <v>230</v>
      </c>
      <c r="J41" s="119" t="s">
        <v>230</v>
      </c>
      <c r="K41" s="119" t="s">
        <v>155</v>
      </c>
      <c r="L41" s="119" t="s">
        <v>155</v>
      </c>
      <c r="M41" s="119" t="s">
        <v>155</v>
      </c>
      <c r="N41" s="119" t="s">
        <v>155</v>
      </c>
      <c r="O41" s="149"/>
    </row>
    <row r="42" spans="1:15" ht="13.7" customHeight="1" thickBot="1">
      <c r="A42" s="410"/>
      <c r="B42" s="413"/>
      <c r="C42" s="117" t="s">
        <v>232</v>
      </c>
      <c r="D42" s="141" t="s">
        <v>525</v>
      </c>
      <c r="E42" s="256" t="s">
        <v>944</v>
      </c>
      <c r="F42" s="256" t="str">
        <f>VLOOKUP(I42,参考表!F:H,3,FALSE)</f>
        <v>15000</v>
      </c>
      <c r="G42" s="119" t="s">
        <v>229</v>
      </c>
      <c r="H42" s="119" t="s">
        <v>229</v>
      </c>
      <c r="I42" s="119" t="s">
        <v>230</v>
      </c>
      <c r="J42" s="119" t="s">
        <v>230</v>
      </c>
      <c r="K42" s="119" t="s">
        <v>155</v>
      </c>
      <c r="L42" s="119" t="s">
        <v>155</v>
      </c>
      <c r="M42" s="119" t="s">
        <v>155</v>
      </c>
      <c r="N42" s="119" t="s">
        <v>155</v>
      </c>
      <c r="O42" s="149"/>
    </row>
    <row r="43" spans="1:15" ht="13.7" customHeight="1" thickBot="1">
      <c r="A43" s="410"/>
      <c r="B43" s="413"/>
      <c r="C43" s="117" t="s">
        <v>233</v>
      </c>
      <c r="D43" s="141" t="s">
        <v>526</v>
      </c>
      <c r="E43" s="256" t="s">
        <v>104</v>
      </c>
      <c r="F43" s="256" t="str">
        <f>VLOOKUP(I43,参考表!F:H,3,FALSE)</f>
        <v>09001</v>
      </c>
      <c r="G43" s="119" t="s">
        <v>225</v>
      </c>
      <c r="H43" s="119" t="s">
        <v>225</v>
      </c>
      <c r="I43" s="119" t="s">
        <v>226</v>
      </c>
      <c r="J43" s="119" t="s">
        <v>226</v>
      </c>
      <c r="K43" s="119" t="s">
        <v>155</v>
      </c>
      <c r="L43" s="119" t="s">
        <v>155</v>
      </c>
      <c r="M43" s="119" t="s">
        <v>155</v>
      </c>
      <c r="N43" s="119" t="s">
        <v>155</v>
      </c>
      <c r="O43" s="149"/>
    </row>
    <row r="44" spans="1:15" ht="13.7" customHeight="1" thickBot="1">
      <c r="A44" s="410"/>
      <c r="B44" s="413"/>
      <c r="C44" s="117" t="s">
        <v>236</v>
      </c>
      <c r="D44" s="118" t="s">
        <v>527</v>
      </c>
      <c r="E44" s="256" t="s">
        <v>738</v>
      </c>
      <c r="F44" s="256" t="str">
        <f>VLOOKUP(I44,参考表!F:H,3,FALSE)</f>
        <v>03001</v>
      </c>
      <c r="G44" s="119" t="s">
        <v>1676</v>
      </c>
      <c r="H44" s="119" t="s">
        <v>1676</v>
      </c>
      <c r="I44" s="119" t="s">
        <v>235</v>
      </c>
      <c r="J44" s="119" t="s">
        <v>193</v>
      </c>
      <c r="K44" s="119" t="s">
        <v>155</v>
      </c>
      <c r="L44" s="119" t="s">
        <v>155</v>
      </c>
      <c r="M44" s="119" t="s">
        <v>155</v>
      </c>
      <c r="N44" s="119" t="s">
        <v>155</v>
      </c>
      <c r="O44" s="129"/>
    </row>
    <row r="45" spans="1:15" ht="13.7" customHeight="1" thickBot="1">
      <c r="A45" s="410"/>
      <c r="B45" s="413"/>
      <c r="C45" s="126" t="s">
        <v>238</v>
      </c>
      <c r="D45" s="118" t="s">
        <v>528</v>
      </c>
      <c r="E45" s="256" t="s">
        <v>868</v>
      </c>
      <c r="F45" s="256" t="str">
        <f>VLOOKUP(I45,参考表!F:H,3,FALSE)</f>
        <v>08001</v>
      </c>
      <c r="G45" s="119" t="s">
        <v>176</v>
      </c>
      <c r="H45" s="119" t="s">
        <v>176</v>
      </c>
      <c r="I45" s="119" t="s">
        <v>239</v>
      </c>
      <c r="J45" s="119" t="s">
        <v>178</v>
      </c>
      <c r="K45" s="119" t="s">
        <v>155</v>
      </c>
      <c r="L45" s="119" t="s">
        <v>155</v>
      </c>
      <c r="M45" s="119" t="s">
        <v>155</v>
      </c>
      <c r="N45" s="119" t="s">
        <v>155</v>
      </c>
      <c r="O45" s="149"/>
    </row>
    <row r="46" spans="1:15" ht="13.7" customHeight="1" thickBot="1">
      <c r="A46" s="410"/>
      <c r="B46" s="413"/>
      <c r="C46" s="117" t="s">
        <v>240</v>
      </c>
      <c r="D46" s="123" t="s">
        <v>529</v>
      </c>
      <c r="E46" s="222" t="s">
        <v>1708</v>
      </c>
      <c r="F46" s="222" t="s">
        <v>1708</v>
      </c>
      <c r="G46" s="119" t="s">
        <v>1710</v>
      </c>
      <c r="H46" s="119" t="s">
        <v>1710</v>
      </c>
      <c r="I46" s="119" t="s">
        <v>193</v>
      </c>
      <c r="J46" s="119" t="s">
        <v>193</v>
      </c>
      <c r="K46" s="119" t="s">
        <v>160</v>
      </c>
      <c r="L46" s="119" t="s">
        <v>160</v>
      </c>
      <c r="M46" s="119" t="s">
        <v>160</v>
      </c>
      <c r="N46" s="119" t="s">
        <v>155</v>
      </c>
      <c r="O46" s="149"/>
    </row>
    <row r="47" spans="1:15" ht="13.7" customHeight="1" thickBot="1">
      <c r="A47" s="410"/>
      <c r="B47" s="413"/>
      <c r="C47" s="121" t="s">
        <v>242</v>
      </c>
      <c r="D47" s="221" t="s">
        <v>697</v>
      </c>
      <c r="E47" s="222" t="s">
        <v>1708</v>
      </c>
      <c r="F47" s="222" t="s">
        <v>1708</v>
      </c>
      <c r="G47" s="119" t="s">
        <v>1710</v>
      </c>
      <c r="H47" s="119" t="s">
        <v>241</v>
      </c>
      <c r="I47" s="119" t="s">
        <v>193</v>
      </c>
      <c r="J47" s="119" t="s">
        <v>193</v>
      </c>
      <c r="K47" s="119" t="s">
        <v>160</v>
      </c>
      <c r="L47" s="119" t="s">
        <v>160</v>
      </c>
      <c r="M47" s="119" t="s">
        <v>160</v>
      </c>
      <c r="N47" s="119" t="s">
        <v>155</v>
      </c>
      <c r="O47" s="149"/>
    </row>
    <row r="48" spans="1:15" ht="13.7" customHeight="1" thickBot="1">
      <c r="A48" s="410"/>
      <c r="B48" s="413"/>
      <c r="C48" s="117" t="s">
        <v>243</v>
      </c>
      <c r="D48" s="123" t="s">
        <v>530</v>
      </c>
      <c r="E48" s="222" t="s">
        <v>1708</v>
      </c>
      <c r="F48" s="222" t="s">
        <v>1708</v>
      </c>
      <c r="G48" s="119" t="s">
        <v>1710</v>
      </c>
      <c r="H48" s="119" t="s">
        <v>1710</v>
      </c>
      <c r="I48" s="119" t="s">
        <v>193</v>
      </c>
      <c r="J48" s="119" t="s">
        <v>193</v>
      </c>
      <c r="K48" s="119" t="s">
        <v>160</v>
      </c>
      <c r="L48" s="119" t="s">
        <v>160</v>
      </c>
      <c r="M48" s="119" t="s">
        <v>160</v>
      </c>
      <c r="N48" s="119" t="s">
        <v>155</v>
      </c>
      <c r="O48" s="149"/>
    </row>
    <row r="49" spans="1:15" ht="13.7" customHeight="1" thickBot="1">
      <c r="A49" s="410"/>
      <c r="B49" s="413"/>
      <c r="C49" s="117" t="s">
        <v>244</v>
      </c>
      <c r="D49" s="123" t="s">
        <v>531</v>
      </c>
      <c r="E49" s="222" t="s">
        <v>1708</v>
      </c>
      <c r="F49" s="222" t="s">
        <v>1708</v>
      </c>
      <c r="G49" s="119" t="s">
        <v>198</v>
      </c>
      <c r="H49" s="119" t="s">
        <v>198</v>
      </c>
      <c r="I49" s="119" t="s">
        <v>193</v>
      </c>
      <c r="J49" s="119" t="s">
        <v>193</v>
      </c>
      <c r="K49" s="119" t="s">
        <v>160</v>
      </c>
      <c r="L49" s="119" t="s">
        <v>160</v>
      </c>
      <c r="M49" s="119" t="s">
        <v>160</v>
      </c>
      <c r="N49" s="119" t="s">
        <v>155</v>
      </c>
      <c r="O49" s="149"/>
    </row>
    <row r="50" spans="1:15" ht="13.7" customHeight="1" thickBot="1">
      <c r="A50" s="410"/>
      <c r="B50" s="413"/>
      <c r="C50" s="117" t="s">
        <v>245</v>
      </c>
      <c r="D50" s="123" t="s">
        <v>532</v>
      </c>
      <c r="E50" s="222" t="s">
        <v>1708</v>
      </c>
      <c r="F50" s="222" t="s">
        <v>1708</v>
      </c>
      <c r="G50" s="119" t="s">
        <v>198</v>
      </c>
      <c r="H50" s="119" t="s">
        <v>198</v>
      </c>
      <c r="I50" s="119" t="s">
        <v>193</v>
      </c>
      <c r="J50" s="119" t="s">
        <v>193</v>
      </c>
      <c r="K50" s="119" t="s">
        <v>160</v>
      </c>
      <c r="L50" s="119" t="s">
        <v>160</v>
      </c>
      <c r="M50" s="119" t="s">
        <v>160</v>
      </c>
      <c r="N50" s="119" t="s">
        <v>155</v>
      </c>
      <c r="O50" s="149"/>
    </row>
    <row r="51" spans="1:15" ht="13.7" customHeight="1" thickBot="1">
      <c r="A51" s="410"/>
      <c r="B51" s="413"/>
      <c r="C51" s="126" t="s">
        <v>246</v>
      </c>
      <c r="D51" s="123" t="s">
        <v>533</v>
      </c>
      <c r="E51" s="222" t="s">
        <v>966</v>
      </c>
      <c r="F51" s="256" t="str">
        <f>VLOOKUP(I51,参考表!F:H,3,FALSE)</f>
        <v>16000</v>
      </c>
      <c r="G51" s="119" t="s">
        <v>241</v>
      </c>
      <c r="H51" s="119" t="s">
        <v>241</v>
      </c>
      <c r="I51" s="147" t="s">
        <v>247</v>
      </c>
      <c r="J51" s="147" t="s">
        <v>247</v>
      </c>
      <c r="K51" s="119" t="s">
        <v>160</v>
      </c>
      <c r="L51" s="119" t="s">
        <v>160</v>
      </c>
      <c r="M51" s="119" t="s">
        <v>160</v>
      </c>
      <c r="N51" s="119" t="s">
        <v>155</v>
      </c>
      <c r="O51" s="149"/>
    </row>
    <row r="52" spans="1:15" ht="13.7" customHeight="1" thickBot="1">
      <c r="A52" s="410"/>
      <c r="B52" s="413"/>
      <c r="C52" s="117" t="s">
        <v>248</v>
      </c>
      <c r="D52" s="123" t="s">
        <v>534</v>
      </c>
      <c r="E52" s="222" t="s">
        <v>1708</v>
      </c>
      <c r="F52" s="222" t="s">
        <v>1708</v>
      </c>
      <c r="G52" s="119" t="s">
        <v>1710</v>
      </c>
      <c r="H52" s="119" t="s">
        <v>241</v>
      </c>
      <c r="I52" s="119" t="s">
        <v>193</v>
      </c>
      <c r="J52" s="119" t="s">
        <v>193</v>
      </c>
      <c r="K52" s="119" t="s">
        <v>160</v>
      </c>
      <c r="L52" s="119" t="s">
        <v>160</v>
      </c>
      <c r="M52" s="119" t="s">
        <v>160</v>
      </c>
      <c r="N52" s="119" t="s">
        <v>155</v>
      </c>
      <c r="O52" s="149"/>
    </row>
    <row r="53" spans="1:15" ht="13.7" customHeight="1" thickBot="1">
      <c r="A53" s="410"/>
      <c r="B53" s="413"/>
      <c r="C53" s="121" t="s">
        <v>249</v>
      </c>
      <c r="D53" s="118" t="s">
        <v>535</v>
      </c>
      <c r="E53" s="222" t="s">
        <v>966</v>
      </c>
      <c r="F53" s="256" t="str">
        <f>VLOOKUP(I53,参考表!F:H,3,FALSE)</f>
        <v>16000</v>
      </c>
      <c r="G53" s="119" t="s">
        <v>241</v>
      </c>
      <c r="H53" s="119" t="s">
        <v>241</v>
      </c>
      <c r="I53" s="119" t="s">
        <v>247</v>
      </c>
      <c r="J53" s="147" t="s">
        <v>247</v>
      </c>
      <c r="K53" s="147" t="s">
        <v>155</v>
      </c>
      <c r="L53" s="147" t="s">
        <v>155</v>
      </c>
      <c r="M53" s="147" t="s">
        <v>155</v>
      </c>
      <c r="N53" s="147" t="s">
        <v>160</v>
      </c>
      <c r="O53" s="145"/>
    </row>
    <row r="54" spans="1:15" ht="13.7" customHeight="1" thickBot="1">
      <c r="A54" s="410"/>
      <c r="B54" s="413"/>
      <c r="C54" s="117" t="s">
        <v>250</v>
      </c>
      <c r="D54" s="118" t="s">
        <v>536</v>
      </c>
      <c r="E54" s="222" t="s">
        <v>966</v>
      </c>
      <c r="F54" s="256" t="str">
        <f>VLOOKUP(I54,参考表!F:H,3,FALSE)</f>
        <v>16000</v>
      </c>
      <c r="G54" s="119" t="s">
        <v>241</v>
      </c>
      <c r="H54" s="119" t="s">
        <v>241</v>
      </c>
      <c r="I54" s="119" t="s">
        <v>247</v>
      </c>
      <c r="J54" s="119" t="s">
        <v>193</v>
      </c>
      <c r="K54" s="119" t="s">
        <v>155</v>
      </c>
      <c r="L54" s="119" t="s">
        <v>155</v>
      </c>
      <c r="M54" s="119" t="s">
        <v>155</v>
      </c>
      <c r="N54" s="119" t="s">
        <v>160</v>
      </c>
      <c r="O54" s="145"/>
    </row>
    <row r="55" spans="1:15" ht="13.7" customHeight="1" thickBot="1">
      <c r="A55" s="410"/>
      <c r="B55" s="413"/>
      <c r="C55" s="117" t="s">
        <v>251</v>
      </c>
      <c r="D55" s="118" t="s">
        <v>537</v>
      </c>
      <c r="E55" s="222" t="s">
        <v>966</v>
      </c>
      <c r="F55" s="256" t="str">
        <f>VLOOKUP(I55,参考表!F:H,3,FALSE)</f>
        <v>16000</v>
      </c>
      <c r="G55" s="119" t="s">
        <v>241</v>
      </c>
      <c r="H55" s="119" t="s">
        <v>241</v>
      </c>
      <c r="I55" s="119" t="s">
        <v>247</v>
      </c>
      <c r="J55" s="147" t="s">
        <v>247</v>
      </c>
      <c r="K55" s="147" t="s">
        <v>155</v>
      </c>
      <c r="L55" s="147" t="s">
        <v>155</v>
      </c>
      <c r="M55" s="147" t="s">
        <v>155</v>
      </c>
      <c r="N55" s="147" t="s">
        <v>160</v>
      </c>
      <c r="O55" s="145"/>
    </row>
    <row r="56" spans="1:15" ht="13.7" customHeight="1" thickBot="1">
      <c r="A56" s="410"/>
      <c r="B56" s="413"/>
      <c r="C56" s="117" t="s">
        <v>252</v>
      </c>
      <c r="D56" s="118" t="s">
        <v>253</v>
      </c>
      <c r="E56" s="222" t="s">
        <v>1640</v>
      </c>
      <c r="F56" s="256" t="str">
        <f>VLOOKUP(I56,参考表!F:H,3,FALSE)</f>
        <v>08001</v>
      </c>
      <c r="G56" s="119" t="s">
        <v>176</v>
      </c>
      <c r="H56" s="119" t="s">
        <v>176</v>
      </c>
      <c r="I56" s="119" t="s">
        <v>1647</v>
      </c>
      <c r="J56" s="119" t="s">
        <v>178</v>
      </c>
      <c r="K56" s="147" t="s">
        <v>155</v>
      </c>
      <c r="L56" s="147" t="s">
        <v>155</v>
      </c>
      <c r="M56" s="147" t="s">
        <v>155</v>
      </c>
      <c r="N56" s="147" t="s">
        <v>160</v>
      </c>
      <c r="O56" s="145"/>
    </row>
    <row r="57" spans="1:15" ht="13.7" customHeight="1" thickBot="1">
      <c r="A57" s="410"/>
      <c r="B57" s="413"/>
      <c r="C57" s="126" t="s">
        <v>254</v>
      </c>
      <c r="D57" s="118" t="s">
        <v>255</v>
      </c>
      <c r="E57" s="222" t="s">
        <v>1649</v>
      </c>
      <c r="F57" s="256" t="str">
        <f>VLOOKUP(I57,参考表!F:H,3,FALSE)</f>
        <v>03001</v>
      </c>
      <c r="G57" s="119" t="s">
        <v>198</v>
      </c>
      <c r="H57" s="119" t="s">
        <v>198</v>
      </c>
      <c r="I57" s="119" t="s">
        <v>1648</v>
      </c>
      <c r="J57" s="119" t="s">
        <v>235</v>
      </c>
      <c r="K57" s="147" t="s">
        <v>155</v>
      </c>
      <c r="L57" s="147" t="s">
        <v>155</v>
      </c>
      <c r="M57" s="147" t="s">
        <v>155</v>
      </c>
      <c r="N57" s="147" t="s">
        <v>160</v>
      </c>
      <c r="O57" s="145"/>
    </row>
    <row r="58" spans="1:15" ht="13.7" customHeight="1" thickBot="1">
      <c r="A58" s="410"/>
      <c r="B58" s="413"/>
      <c r="C58" s="117" t="s">
        <v>256</v>
      </c>
      <c r="D58" s="118" t="s">
        <v>257</v>
      </c>
      <c r="E58" s="222" t="s">
        <v>1649</v>
      </c>
      <c r="F58" s="256" t="str">
        <f>VLOOKUP(I58,参考表!F:H,3,FALSE)</f>
        <v>03001</v>
      </c>
      <c r="G58" s="119" t="s">
        <v>198</v>
      </c>
      <c r="H58" s="119" t="s">
        <v>198</v>
      </c>
      <c r="I58" s="119" t="s">
        <v>1648</v>
      </c>
      <c r="J58" s="119" t="s">
        <v>193</v>
      </c>
      <c r="K58" s="147" t="s">
        <v>155</v>
      </c>
      <c r="L58" s="147" t="s">
        <v>155</v>
      </c>
      <c r="M58" s="147" t="s">
        <v>155</v>
      </c>
      <c r="N58" s="147" t="s">
        <v>160</v>
      </c>
      <c r="O58" s="145"/>
    </row>
    <row r="59" spans="1:15" ht="13.7" customHeight="1" thickBot="1">
      <c r="A59" s="410"/>
      <c r="B59" s="413"/>
      <c r="C59" s="121" t="s">
        <v>258</v>
      </c>
      <c r="D59" s="118" t="s">
        <v>259</v>
      </c>
      <c r="E59" s="222" t="s">
        <v>1640</v>
      </c>
      <c r="F59" s="256" t="str">
        <f>VLOOKUP(I59,参考表!F:H,3,FALSE)</f>
        <v>08001</v>
      </c>
      <c r="G59" s="119" t="s">
        <v>176</v>
      </c>
      <c r="H59" s="119" t="s">
        <v>176</v>
      </c>
      <c r="I59" s="119" t="s">
        <v>1647</v>
      </c>
      <c r="J59" s="119" t="s">
        <v>178</v>
      </c>
      <c r="K59" s="147" t="s">
        <v>155</v>
      </c>
      <c r="L59" s="147" t="s">
        <v>155</v>
      </c>
      <c r="M59" s="147" t="s">
        <v>155</v>
      </c>
      <c r="N59" s="147" t="s">
        <v>160</v>
      </c>
      <c r="O59" s="145"/>
    </row>
    <row r="60" spans="1:15" ht="13.7" customHeight="1" thickBot="1">
      <c r="A60" s="411"/>
      <c r="B60" s="414"/>
      <c r="C60" s="150" t="s">
        <v>260</v>
      </c>
      <c r="D60" s="151" t="s">
        <v>538</v>
      </c>
      <c r="E60" s="256" t="s">
        <v>104</v>
      </c>
      <c r="F60" s="256" t="str">
        <f>VLOOKUP(I60,参考表!F:H,3,FALSE)</f>
        <v>09001</v>
      </c>
      <c r="G60" s="152" t="s">
        <v>234</v>
      </c>
      <c r="H60" s="152" t="s">
        <v>234</v>
      </c>
      <c r="I60" s="152" t="s">
        <v>226</v>
      </c>
      <c r="J60" s="122" t="s">
        <v>226</v>
      </c>
      <c r="K60" s="153" t="s">
        <v>160</v>
      </c>
      <c r="L60" s="153" t="s">
        <v>160</v>
      </c>
      <c r="M60" s="153" t="s">
        <v>155</v>
      </c>
      <c r="N60" s="153" t="s">
        <v>160</v>
      </c>
      <c r="O60" s="154"/>
    </row>
    <row r="61" spans="1:15" ht="13.7" customHeight="1" thickBot="1">
      <c r="A61" s="409" t="s">
        <v>261</v>
      </c>
      <c r="B61" s="412" t="s">
        <v>262</v>
      </c>
      <c r="C61" s="114" t="s">
        <v>263</v>
      </c>
      <c r="D61" s="155" t="s">
        <v>539</v>
      </c>
      <c r="E61" s="256" t="s">
        <v>902</v>
      </c>
      <c r="F61" s="256" t="str">
        <f>VLOOKUP(I61,参考表!F:H,3,FALSE)</f>
        <v>11001</v>
      </c>
      <c r="G61" s="156" t="s">
        <v>264</v>
      </c>
      <c r="H61" s="156" t="s">
        <v>264</v>
      </c>
      <c r="I61" s="156" t="s">
        <v>265</v>
      </c>
      <c r="J61" s="156" t="s">
        <v>266</v>
      </c>
      <c r="K61" s="156" t="s">
        <v>155</v>
      </c>
      <c r="L61" s="156" t="s">
        <v>155</v>
      </c>
      <c r="M61" s="156" t="s">
        <v>155</v>
      </c>
      <c r="N61" s="156" t="s">
        <v>155</v>
      </c>
      <c r="O61" s="116"/>
    </row>
    <row r="62" spans="1:15" ht="13.7" customHeight="1" thickBot="1">
      <c r="A62" s="410"/>
      <c r="B62" s="413"/>
      <c r="C62" s="121" t="s">
        <v>267</v>
      </c>
      <c r="D62" s="130" t="s">
        <v>540</v>
      </c>
      <c r="E62" s="256" t="s">
        <v>902</v>
      </c>
      <c r="F62" s="256" t="str">
        <f>VLOOKUP(I62,参考表!F:H,3,FALSE)</f>
        <v>11001</v>
      </c>
      <c r="G62" s="128" t="s">
        <v>268</v>
      </c>
      <c r="H62" s="128" t="s">
        <v>264</v>
      </c>
      <c r="I62" s="128" t="s">
        <v>265</v>
      </c>
      <c r="J62" s="128" t="s">
        <v>266</v>
      </c>
      <c r="K62" s="128" t="s">
        <v>155</v>
      </c>
      <c r="L62" s="128" t="s">
        <v>155</v>
      </c>
      <c r="M62" s="128" t="s">
        <v>155</v>
      </c>
      <c r="N62" s="128" t="s">
        <v>155</v>
      </c>
      <c r="O62" s="129"/>
    </row>
    <row r="63" spans="1:15" ht="13.7" customHeight="1" thickBot="1">
      <c r="A63" s="410"/>
      <c r="B63" s="413"/>
      <c r="C63" s="117" t="s">
        <v>269</v>
      </c>
      <c r="D63" s="130" t="s">
        <v>541</v>
      </c>
      <c r="E63" s="256" t="s">
        <v>902</v>
      </c>
      <c r="F63" s="256" t="str">
        <f>VLOOKUP(I63,参考表!F:H,3,FALSE)</f>
        <v>11001</v>
      </c>
      <c r="G63" s="128" t="s">
        <v>268</v>
      </c>
      <c r="H63" s="128" t="s">
        <v>264</v>
      </c>
      <c r="I63" s="128" t="s">
        <v>265</v>
      </c>
      <c r="J63" s="128" t="s">
        <v>266</v>
      </c>
      <c r="K63" s="128" t="s">
        <v>155</v>
      </c>
      <c r="L63" s="128" t="s">
        <v>155</v>
      </c>
      <c r="M63" s="128" t="s">
        <v>155</v>
      </c>
      <c r="N63" s="128" t="s">
        <v>160</v>
      </c>
      <c r="O63" s="129"/>
    </row>
    <row r="64" spans="1:15" ht="13.7" customHeight="1" thickBot="1">
      <c r="A64" s="410"/>
      <c r="B64" s="413"/>
      <c r="C64" s="117" t="s">
        <v>270</v>
      </c>
      <c r="D64" s="130" t="s">
        <v>542</v>
      </c>
      <c r="E64" s="256" t="s">
        <v>902</v>
      </c>
      <c r="F64" s="256" t="str">
        <f>VLOOKUP(I64,参考表!F:H,3,FALSE)</f>
        <v>11001</v>
      </c>
      <c r="G64" s="128" t="s">
        <v>264</v>
      </c>
      <c r="H64" s="128" t="s">
        <v>264</v>
      </c>
      <c r="I64" s="128" t="s">
        <v>265</v>
      </c>
      <c r="J64" s="128" t="s">
        <v>266</v>
      </c>
      <c r="K64" s="128" t="s">
        <v>155</v>
      </c>
      <c r="L64" s="128" t="s">
        <v>155</v>
      </c>
      <c r="M64" s="128" t="s">
        <v>155</v>
      </c>
      <c r="N64" s="128" t="s">
        <v>155</v>
      </c>
      <c r="O64" s="129"/>
    </row>
    <row r="65" spans="1:15" ht="13.7" customHeight="1" thickBot="1">
      <c r="A65" s="410"/>
      <c r="B65" s="413"/>
      <c r="C65" s="117" t="s">
        <v>271</v>
      </c>
      <c r="D65" s="130" t="s">
        <v>543</v>
      </c>
      <c r="E65" s="256" t="s">
        <v>896</v>
      </c>
      <c r="F65" s="256" t="str">
        <f>VLOOKUP(I65,参考表!F:H,3,FALSE)</f>
        <v>10001</v>
      </c>
      <c r="G65" s="128" t="s">
        <v>281</v>
      </c>
      <c r="H65" s="128" t="s">
        <v>272</v>
      </c>
      <c r="I65" s="128" t="s">
        <v>273</v>
      </c>
      <c r="J65" s="128" t="s">
        <v>274</v>
      </c>
      <c r="K65" s="128" t="s">
        <v>155</v>
      </c>
      <c r="L65" s="128" t="s">
        <v>155</v>
      </c>
      <c r="M65" s="128" t="s">
        <v>155</v>
      </c>
      <c r="N65" s="128" t="s">
        <v>160</v>
      </c>
      <c r="O65" s="129"/>
    </row>
    <row r="66" spans="1:15" ht="13.7" customHeight="1" thickBot="1">
      <c r="A66" s="410"/>
      <c r="B66" s="413"/>
      <c r="C66" s="126" t="s">
        <v>275</v>
      </c>
      <c r="D66" s="130" t="s">
        <v>544</v>
      </c>
      <c r="E66" s="256" t="s">
        <v>904</v>
      </c>
      <c r="F66" s="256" t="str">
        <f>VLOOKUP(I66,参考表!F:H,3,FALSE)</f>
        <v>11002</v>
      </c>
      <c r="G66" s="128" t="s">
        <v>276</v>
      </c>
      <c r="H66" s="128" t="s">
        <v>277</v>
      </c>
      <c r="I66" s="128" t="s">
        <v>278</v>
      </c>
      <c r="J66" s="128" t="s">
        <v>279</v>
      </c>
      <c r="K66" s="128" t="s">
        <v>155</v>
      </c>
      <c r="L66" s="128" t="s">
        <v>155</v>
      </c>
      <c r="M66" s="128" t="s">
        <v>155</v>
      </c>
      <c r="N66" s="128" t="s">
        <v>160</v>
      </c>
      <c r="O66" s="129"/>
    </row>
    <row r="67" spans="1:15" ht="13.7" customHeight="1" thickBot="1">
      <c r="A67" s="410"/>
      <c r="B67" s="413"/>
      <c r="C67" s="117" t="s">
        <v>280</v>
      </c>
      <c r="D67" s="130" t="s">
        <v>545</v>
      </c>
      <c r="E67" s="256" t="s">
        <v>896</v>
      </c>
      <c r="F67" s="256" t="str">
        <f>VLOOKUP(I67,参考表!F:H,3,FALSE)</f>
        <v>10001</v>
      </c>
      <c r="G67" s="128" t="s">
        <v>281</v>
      </c>
      <c r="H67" s="128" t="s">
        <v>281</v>
      </c>
      <c r="I67" s="119" t="s">
        <v>273</v>
      </c>
      <c r="J67" s="128" t="s">
        <v>274</v>
      </c>
      <c r="K67" s="128" t="s">
        <v>155</v>
      </c>
      <c r="L67" s="128" t="s">
        <v>155</v>
      </c>
      <c r="M67" s="128" t="s">
        <v>155</v>
      </c>
      <c r="N67" s="128" t="s">
        <v>155</v>
      </c>
      <c r="O67" s="129"/>
    </row>
    <row r="68" spans="1:15" ht="13.7" customHeight="1" thickBot="1">
      <c r="A68" s="410"/>
      <c r="B68" s="413"/>
      <c r="C68" s="121" t="s">
        <v>282</v>
      </c>
      <c r="D68" s="130" t="s">
        <v>546</v>
      </c>
      <c r="E68" s="256" t="s">
        <v>896</v>
      </c>
      <c r="F68" s="256" t="str">
        <f>VLOOKUP(I68,参考表!F:H,3,FALSE)</f>
        <v>10001</v>
      </c>
      <c r="G68" s="128" t="s">
        <v>281</v>
      </c>
      <c r="H68" s="128" t="s">
        <v>281</v>
      </c>
      <c r="I68" s="119" t="s">
        <v>273</v>
      </c>
      <c r="J68" s="128" t="s">
        <v>274</v>
      </c>
      <c r="K68" s="128" t="s">
        <v>155</v>
      </c>
      <c r="L68" s="128" t="s">
        <v>155</v>
      </c>
      <c r="M68" s="128" t="s">
        <v>155</v>
      </c>
      <c r="N68" s="128" t="s">
        <v>155</v>
      </c>
      <c r="O68" s="129"/>
    </row>
    <row r="69" spans="1:15" ht="13.7" customHeight="1" thickBot="1">
      <c r="A69" s="410"/>
      <c r="B69" s="413"/>
      <c r="C69" s="117" t="s">
        <v>283</v>
      </c>
      <c r="D69" s="157" t="s">
        <v>547</v>
      </c>
      <c r="E69" s="256" t="s">
        <v>896</v>
      </c>
      <c r="F69" s="256" t="str">
        <f>VLOOKUP(I69,参考表!F:H,3,FALSE)</f>
        <v>10001</v>
      </c>
      <c r="G69" s="128" t="s">
        <v>281</v>
      </c>
      <c r="H69" s="128" t="s">
        <v>281</v>
      </c>
      <c r="I69" s="119" t="s">
        <v>273</v>
      </c>
      <c r="J69" s="128" t="s">
        <v>274</v>
      </c>
      <c r="K69" s="128" t="s">
        <v>155</v>
      </c>
      <c r="L69" s="128" t="s">
        <v>155</v>
      </c>
      <c r="M69" s="128" t="s">
        <v>155</v>
      </c>
      <c r="N69" s="128" t="s">
        <v>155</v>
      </c>
      <c r="O69" s="129" t="s">
        <v>284</v>
      </c>
    </row>
    <row r="70" spans="1:15" ht="13.7" customHeight="1" thickBot="1">
      <c r="A70" s="410"/>
      <c r="B70" s="413"/>
      <c r="C70" s="117" t="s">
        <v>285</v>
      </c>
      <c r="D70" s="130" t="s">
        <v>548</v>
      </c>
      <c r="E70" s="256" t="s">
        <v>896</v>
      </c>
      <c r="F70" s="256" t="str">
        <f>VLOOKUP(I70,参考表!F:H,3,FALSE)</f>
        <v>10001</v>
      </c>
      <c r="G70" s="128" t="s">
        <v>286</v>
      </c>
      <c r="H70" s="128" t="s">
        <v>286</v>
      </c>
      <c r="I70" s="119" t="s">
        <v>273</v>
      </c>
      <c r="J70" s="128" t="s">
        <v>274</v>
      </c>
      <c r="K70" s="128" t="s">
        <v>155</v>
      </c>
      <c r="L70" s="128" t="s">
        <v>155</v>
      </c>
      <c r="M70" s="128" t="s">
        <v>155</v>
      </c>
      <c r="N70" s="128" t="s">
        <v>155</v>
      </c>
      <c r="O70" s="129"/>
    </row>
    <row r="71" spans="1:15" ht="13.7" customHeight="1" thickBot="1">
      <c r="A71" s="410"/>
      <c r="B71" s="413"/>
      <c r="C71" s="117" t="s">
        <v>287</v>
      </c>
      <c r="D71" s="141" t="s">
        <v>549</v>
      </c>
      <c r="E71" s="256" t="s">
        <v>896</v>
      </c>
      <c r="F71" s="256" t="str">
        <f>VLOOKUP(I71,参考表!F:H,3,FALSE)</f>
        <v>10001</v>
      </c>
      <c r="G71" s="128" t="s">
        <v>288</v>
      </c>
      <c r="H71" s="119" t="s">
        <v>288</v>
      </c>
      <c r="I71" s="119" t="s">
        <v>273</v>
      </c>
      <c r="J71" s="128" t="s">
        <v>274</v>
      </c>
      <c r="K71" s="128" t="s">
        <v>155</v>
      </c>
      <c r="L71" s="128" t="s">
        <v>155</v>
      </c>
      <c r="M71" s="128" t="s">
        <v>155</v>
      </c>
      <c r="N71" s="128" t="s">
        <v>155</v>
      </c>
      <c r="O71" s="129" t="s">
        <v>289</v>
      </c>
    </row>
    <row r="72" spans="1:15" ht="13.7" customHeight="1" thickBot="1">
      <c r="A72" s="410"/>
      <c r="B72" s="413"/>
      <c r="C72" s="126" t="s">
        <v>290</v>
      </c>
      <c r="D72" s="158" t="s">
        <v>550</v>
      </c>
      <c r="E72" s="222" t="s">
        <v>1708</v>
      </c>
      <c r="F72" s="256" t="str">
        <f>VLOOKUP(I72,参考表!F:H,3,FALSE)</f>
        <v>10001</v>
      </c>
      <c r="G72" s="128" t="s">
        <v>291</v>
      </c>
      <c r="H72" s="128" t="s">
        <v>291</v>
      </c>
      <c r="I72" s="119" t="s">
        <v>273</v>
      </c>
      <c r="J72" s="128" t="s">
        <v>274</v>
      </c>
      <c r="K72" s="128" t="s">
        <v>155</v>
      </c>
      <c r="L72" s="128" t="s">
        <v>155</v>
      </c>
      <c r="M72" s="128" t="s">
        <v>155</v>
      </c>
      <c r="N72" s="128" t="s">
        <v>155</v>
      </c>
      <c r="O72" s="129"/>
    </row>
    <row r="73" spans="1:15" ht="13.7" customHeight="1" thickBot="1">
      <c r="A73" s="409" t="s">
        <v>292</v>
      </c>
      <c r="B73" s="412" t="s">
        <v>293</v>
      </c>
      <c r="C73" s="114" t="s">
        <v>294</v>
      </c>
      <c r="D73" s="159" t="s">
        <v>551</v>
      </c>
      <c r="E73" s="256" t="s">
        <v>104</v>
      </c>
      <c r="F73" s="256" t="str">
        <f>VLOOKUP(I73,参考表!F:H,3,FALSE)</f>
        <v>09001</v>
      </c>
      <c r="G73" s="160" t="s">
        <v>234</v>
      </c>
      <c r="H73" s="160" t="s">
        <v>234</v>
      </c>
      <c r="I73" s="160" t="s">
        <v>226</v>
      </c>
      <c r="J73" s="160" t="s">
        <v>226</v>
      </c>
      <c r="K73" s="160" t="s">
        <v>155</v>
      </c>
      <c r="L73" s="160" t="s">
        <v>155</v>
      </c>
      <c r="M73" s="160" t="s">
        <v>155</v>
      </c>
      <c r="N73" s="160" t="s">
        <v>155</v>
      </c>
      <c r="O73" s="116" t="s">
        <v>295</v>
      </c>
    </row>
    <row r="74" spans="1:15" ht="13.7" customHeight="1" thickBot="1">
      <c r="A74" s="410"/>
      <c r="B74" s="413"/>
      <c r="C74" s="121" t="s">
        <v>296</v>
      </c>
      <c r="D74" s="161" t="s">
        <v>552</v>
      </c>
      <c r="E74" s="256" t="s">
        <v>104</v>
      </c>
      <c r="F74" s="256" t="str">
        <f>VLOOKUP(I74,参考表!F:H,3,FALSE)</f>
        <v>09001</v>
      </c>
      <c r="G74" s="162" t="s">
        <v>234</v>
      </c>
      <c r="H74" s="162" t="s">
        <v>234</v>
      </c>
      <c r="I74" s="162" t="s">
        <v>226</v>
      </c>
      <c r="J74" s="163" t="s">
        <v>226</v>
      </c>
      <c r="K74" s="162" t="s">
        <v>155</v>
      </c>
      <c r="L74" s="162" t="s">
        <v>155</v>
      </c>
      <c r="M74" s="162" t="s">
        <v>155</v>
      </c>
      <c r="N74" s="162" t="s">
        <v>155</v>
      </c>
      <c r="O74" s="139"/>
    </row>
    <row r="75" spans="1:15" ht="13.7" customHeight="1" thickBot="1">
      <c r="A75" s="410"/>
      <c r="B75" s="413"/>
      <c r="C75" s="117" t="s">
        <v>297</v>
      </c>
      <c r="D75" s="161" t="s">
        <v>553</v>
      </c>
      <c r="E75" s="256" t="s">
        <v>896</v>
      </c>
      <c r="F75" s="256" t="str">
        <f>VLOOKUP(I75,参考表!F:H,3,FALSE)</f>
        <v>10001</v>
      </c>
      <c r="G75" s="119" t="s">
        <v>288</v>
      </c>
      <c r="H75" s="119" t="s">
        <v>288</v>
      </c>
      <c r="I75" s="119" t="s">
        <v>273</v>
      </c>
      <c r="J75" s="162" t="s">
        <v>298</v>
      </c>
      <c r="K75" s="162" t="s">
        <v>155</v>
      </c>
      <c r="L75" s="162" t="s">
        <v>155</v>
      </c>
      <c r="M75" s="162" t="s">
        <v>155</v>
      </c>
      <c r="N75" s="162" t="s">
        <v>155</v>
      </c>
      <c r="O75" s="139"/>
    </row>
    <row r="76" spans="1:15" ht="13.7" customHeight="1" thickBot="1">
      <c r="A76" s="410"/>
      <c r="B76" s="413"/>
      <c r="C76" s="117" t="s">
        <v>299</v>
      </c>
      <c r="D76" s="141" t="s">
        <v>554</v>
      </c>
      <c r="E76" s="256" t="s">
        <v>896</v>
      </c>
      <c r="F76" s="256" t="str">
        <f>VLOOKUP(I76,参考表!F:H,3,FALSE)</f>
        <v>10001</v>
      </c>
      <c r="G76" s="119" t="s">
        <v>288</v>
      </c>
      <c r="H76" s="119" t="s">
        <v>300</v>
      </c>
      <c r="I76" s="119" t="s">
        <v>273</v>
      </c>
      <c r="J76" s="162" t="s">
        <v>274</v>
      </c>
      <c r="K76" s="162" t="s">
        <v>155</v>
      </c>
      <c r="L76" s="162" t="s">
        <v>155</v>
      </c>
      <c r="M76" s="162" t="s">
        <v>155</v>
      </c>
      <c r="N76" s="162" t="s">
        <v>155</v>
      </c>
      <c r="O76" s="139"/>
    </row>
    <row r="77" spans="1:15" ht="13.7" customHeight="1" thickBot="1">
      <c r="A77" s="410"/>
      <c r="B77" s="413"/>
      <c r="C77" s="117" t="s">
        <v>301</v>
      </c>
      <c r="D77" s="141" t="s">
        <v>555</v>
      </c>
      <c r="E77" s="256" t="s">
        <v>104</v>
      </c>
      <c r="F77" s="256" t="str">
        <f>VLOOKUP(I77,参考表!F:H,3,FALSE)</f>
        <v>09001</v>
      </c>
      <c r="G77" s="162" t="s">
        <v>302</v>
      </c>
      <c r="H77" s="119" t="s">
        <v>234</v>
      </c>
      <c r="I77" s="162" t="s">
        <v>226</v>
      </c>
      <c r="J77" s="162" t="s">
        <v>226</v>
      </c>
      <c r="K77" s="162" t="s">
        <v>155</v>
      </c>
      <c r="L77" s="162" t="s">
        <v>155</v>
      </c>
      <c r="M77" s="162" t="s">
        <v>155</v>
      </c>
      <c r="N77" s="162" t="s">
        <v>155</v>
      </c>
      <c r="O77" s="139"/>
    </row>
    <row r="78" spans="1:15" ht="13.7" customHeight="1" thickBot="1">
      <c r="A78" s="410"/>
      <c r="B78" s="413"/>
      <c r="C78" s="126" t="s">
        <v>303</v>
      </c>
      <c r="D78" s="164" t="s">
        <v>556</v>
      </c>
      <c r="E78" s="256" t="s">
        <v>887</v>
      </c>
      <c r="F78" s="256" t="str">
        <f>VLOOKUP(I78,参考表!F:H,3,FALSE)</f>
        <v>09002</v>
      </c>
      <c r="G78" s="119" t="s">
        <v>304</v>
      </c>
      <c r="H78" s="119" t="s">
        <v>304</v>
      </c>
      <c r="I78" s="162" t="s">
        <v>305</v>
      </c>
      <c r="J78" s="162" t="s">
        <v>306</v>
      </c>
      <c r="K78" s="162" t="s">
        <v>160</v>
      </c>
      <c r="L78" s="162" t="s">
        <v>160</v>
      </c>
      <c r="M78" s="162" t="s">
        <v>160</v>
      </c>
      <c r="N78" s="162" t="s">
        <v>155</v>
      </c>
      <c r="O78" s="139"/>
    </row>
    <row r="79" spans="1:15" ht="13.7" customHeight="1" thickBot="1">
      <c r="A79" s="410"/>
      <c r="B79" s="413"/>
      <c r="C79" s="117" t="s">
        <v>307</v>
      </c>
      <c r="D79" s="164" t="s">
        <v>557</v>
      </c>
      <c r="E79" s="222" t="s">
        <v>1709</v>
      </c>
      <c r="F79" s="222" t="s">
        <v>1709</v>
      </c>
      <c r="G79" s="119" t="s">
        <v>234</v>
      </c>
      <c r="H79" s="119" t="s">
        <v>234</v>
      </c>
      <c r="I79" s="162" t="s">
        <v>193</v>
      </c>
      <c r="J79" s="162" t="s">
        <v>193</v>
      </c>
      <c r="K79" s="162" t="s">
        <v>160</v>
      </c>
      <c r="L79" s="162" t="s">
        <v>160</v>
      </c>
      <c r="M79" s="162" t="s">
        <v>160</v>
      </c>
      <c r="N79" s="162" t="s">
        <v>155</v>
      </c>
      <c r="O79" s="139"/>
    </row>
    <row r="80" spans="1:15" ht="13.7" customHeight="1" thickBot="1">
      <c r="A80" s="410"/>
      <c r="B80" s="413"/>
      <c r="C80" s="121" t="s">
        <v>308</v>
      </c>
      <c r="D80" s="164" t="s">
        <v>558</v>
      </c>
      <c r="E80" s="256" t="s">
        <v>102</v>
      </c>
      <c r="F80" s="256" t="str">
        <f>VLOOKUP(I80,参考表!F:H,3,FALSE)</f>
        <v>06000</v>
      </c>
      <c r="G80" s="119" t="s">
        <v>300</v>
      </c>
      <c r="H80" s="119" t="s">
        <v>300</v>
      </c>
      <c r="I80" s="162" t="s">
        <v>172</v>
      </c>
      <c r="J80" s="162" t="s">
        <v>172</v>
      </c>
      <c r="K80" s="162" t="s">
        <v>160</v>
      </c>
      <c r="L80" s="162" t="s">
        <v>160</v>
      </c>
      <c r="M80" s="162" t="s">
        <v>160</v>
      </c>
      <c r="N80" s="162" t="s">
        <v>155</v>
      </c>
      <c r="O80" s="139"/>
    </row>
    <row r="81" spans="1:15" ht="13.7" customHeight="1" thickBot="1">
      <c r="A81" s="410"/>
      <c r="B81" s="413"/>
      <c r="C81" s="117" t="s">
        <v>309</v>
      </c>
      <c r="D81" s="164" t="s">
        <v>559</v>
      </c>
      <c r="E81" s="256" t="s">
        <v>104</v>
      </c>
      <c r="F81" s="256" t="str">
        <f>VLOOKUP(I81,参考表!F:H,3,FALSE)</f>
        <v>09001</v>
      </c>
      <c r="G81" s="119" t="s">
        <v>234</v>
      </c>
      <c r="H81" s="119" t="s">
        <v>234</v>
      </c>
      <c r="I81" s="162" t="s">
        <v>226</v>
      </c>
      <c r="J81" s="162" t="s">
        <v>226</v>
      </c>
      <c r="K81" s="162" t="s">
        <v>160</v>
      </c>
      <c r="L81" s="162" t="s">
        <v>160</v>
      </c>
      <c r="M81" s="162" t="s">
        <v>160</v>
      </c>
      <c r="N81" s="162" t="s">
        <v>155</v>
      </c>
      <c r="O81" s="139"/>
    </row>
    <row r="82" spans="1:15" ht="13.7" customHeight="1" thickBot="1">
      <c r="A82" s="410"/>
      <c r="B82" s="413"/>
      <c r="C82" s="117" t="s">
        <v>310</v>
      </c>
      <c r="D82" s="164" t="s">
        <v>1775</v>
      </c>
      <c r="E82" s="222" t="s">
        <v>1652</v>
      </c>
      <c r="F82" s="256" t="str">
        <f>VLOOKUP(I82,参考表!F:H,3,FALSE)</f>
        <v>06000</v>
      </c>
      <c r="G82" s="119" t="s">
        <v>1776</v>
      </c>
      <c r="H82" s="119" t="s">
        <v>311</v>
      </c>
      <c r="I82" s="162" t="s">
        <v>172</v>
      </c>
      <c r="J82" s="162" t="s">
        <v>172</v>
      </c>
      <c r="K82" s="162" t="s">
        <v>160</v>
      </c>
      <c r="L82" s="162" t="s">
        <v>160</v>
      </c>
      <c r="M82" s="162" t="s">
        <v>160</v>
      </c>
      <c r="N82" s="162" t="s">
        <v>155</v>
      </c>
      <c r="O82" s="139"/>
    </row>
    <row r="83" spans="1:15" ht="13.7" customHeight="1" thickBot="1">
      <c r="A83" s="410"/>
      <c r="B83" s="413"/>
      <c r="C83" s="117" t="s">
        <v>312</v>
      </c>
      <c r="D83" s="141" t="s">
        <v>561</v>
      </c>
      <c r="E83" s="256" t="s">
        <v>104</v>
      </c>
      <c r="F83" s="256" t="str">
        <f>VLOOKUP(I83,参考表!F:H,3,FALSE)</f>
        <v>09001</v>
      </c>
      <c r="G83" s="162" t="s">
        <v>302</v>
      </c>
      <c r="H83" s="119" t="s">
        <v>234</v>
      </c>
      <c r="I83" s="162" t="s">
        <v>226</v>
      </c>
      <c r="J83" s="162" t="s">
        <v>226</v>
      </c>
      <c r="K83" s="162" t="s">
        <v>155</v>
      </c>
      <c r="L83" s="162" t="s">
        <v>155</v>
      </c>
      <c r="M83" s="162" t="s">
        <v>155</v>
      </c>
      <c r="N83" s="162" t="s">
        <v>160</v>
      </c>
      <c r="O83" s="139"/>
    </row>
    <row r="84" spans="1:15" ht="13.7" customHeight="1" thickBot="1">
      <c r="A84" s="410"/>
      <c r="B84" s="413"/>
      <c r="C84" s="126" t="s">
        <v>313</v>
      </c>
      <c r="D84" s="157" t="s">
        <v>562</v>
      </c>
      <c r="E84" s="256" t="s">
        <v>887</v>
      </c>
      <c r="F84" s="256" t="str">
        <f>VLOOKUP(I84,参考表!F:H,3,FALSE)</f>
        <v>09002</v>
      </c>
      <c r="G84" s="162" t="s">
        <v>304</v>
      </c>
      <c r="H84" s="162" t="s">
        <v>304</v>
      </c>
      <c r="I84" s="162" t="s">
        <v>314</v>
      </c>
      <c r="J84" s="162" t="s">
        <v>314</v>
      </c>
      <c r="K84" s="162" t="s">
        <v>155</v>
      </c>
      <c r="L84" s="162" t="s">
        <v>155</v>
      </c>
      <c r="M84" s="162" t="s">
        <v>155</v>
      </c>
      <c r="N84" s="162" t="s">
        <v>155</v>
      </c>
      <c r="O84" s="129"/>
    </row>
    <row r="85" spans="1:15" ht="13.7" customHeight="1" thickBot="1">
      <c r="A85" s="410"/>
      <c r="B85" s="413"/>
      <c r="C85" s="117" t="s">
        <v>315</v>
      </c>
      <c r="D85" s="141" t="s">
        <v>563</v>
      </c>
      <c r="E85" s="256" t="s">
        <v>887</v>
      </c>
      <c r="F85" s="256" t="str">
        <f>VLOOKUP(I85,参考表!F:H,3,FALSE)</f>
        <v>09002</v>
      </c>
      <c r="G85" s="162" t="s">
        <v>304</v>
      </c>
      <c r="H85" s="162" t="s">
        <v>304</v>
      </c>
      <c r="I85" s="162" t="s">
        <v>314</v>
      </c>
      <c r="J85" s="162" t="s">
        <v>314</v>
      </c>
      <c r="K85" s="162" t="s">
        <v>155</v>
      </c>
      <c r="L85" s="162" t="s">
        <v>155</v>
      </c>
      <c r="M85" s="162" t="s">
        <v>155</v>
      </c>
      <c r="N85" s="162" t="s">
        <v>155</v>
      </c>
      <c r="O85" s="139"/>
    </row>
    <row r="86" spans="1:15" ht="13.7" customHeight="1" thickBot="1">
      <c r="A86" s="410"/>
      <c r="B86" s="413"/>
      <c r="C86" s="121" t="s">
        <v>316</v>
      </c>
      <c r="D86" s="141" t="s">
        <v>564</v>
      </c>
      <c r="E86" s="256" t="s">
        <v>102</v>
      </c>
      <c r="F86" s="256" t="str">
        <f>VLOOKUP(I86,参考表!F:H,3,FALSE)</f>
        <v>06000</v>
      </c>
      <c r="G86" s="119" t="s">
        <v>317</v>
      </c>
      <c r="H86" s="119" t="s">
        <v>317</v>
      </c>
      <c r="I86" s="119" t="s">
        <v>172</v>
      </c>
      <c r="J86" s="119" t="s">
        <v>172</v>
      </c>
      <c r="K86" s="119" t="s">
        <v>155</v>
      </c>
      <c r="L86" s="119" t="s">
        <v>155</v>
      </c>
      <c r="M86" s="119" t="s">
        <v>155</v>
      </c>
      <c r="N86" s="119" t="s">
        <v>155</v>
      </c>
      <c r="O86" s="139"/>
    </row>
    <row r="87" spans="1:15" ht="13.7" customHeight="1" thickBot="1">
      <c r="A87" s="410"/>
      <c r="B87" s="413"/>
      <c r="C87" s="117" t="s">
        <v>318</v>
      </c>
      <c r="D87" s="165" t="s">
        <v>565</v>
      </c>
      <c r="E87" s="256">
        <v>10003</v>
      </c>
      <c r="F87" s="256" t="str">
        <f>VLOOKUP(I87,参考表!F:H,3,FALSE)</f>
        <v>10001</v>
      </c>
      <c r="G87" s="128" t="s">
        <v>281</v>
      </c>
      <c r="H87" s="128" t="s">
        <v>319</v>
      </c>
      <c r="I87" s="128" t="s">
        <v>1644</v>
      </c>
      <c r="J87" s="128" t="s">
        <v>278</v>
      </c>
      <c r="K87" s="128" t="s">
        <v>155</v>
      </c>
      <c r="L87" s="128" t="s">
        <v>155</v>
      </c>
      <c r="M87" s="128" t="s">
        <v>160</v>
      </c>
      <c r="N87" s="128" t="s">
        <v>155</v>
      </c>
      <c r="O87" s="129"/>
    </row>
    <row r="88" spans="1:15" ht="13.7" customHeight="1" thickBot="1">
      <c r="A88" s="410"/>
      <c r="B88" s="413"/>
      <c r="C88" s="117" t="s">
        <v>321</v>
      </c>
      <c r="D88" s="165" t="s">
        <v>566</v>
      </c>
      <c r="E88" s="256">
        <v>10003</v>
      </c>
      <c r="F88" s="256" t="str">
        <f>VLOOKUP(I88,参考表!F:H,3,FALSE)</f>
        <v>10001</v>
      </c>
      <c r="G88" s="128" t="s">
        <v>281</v>
      </c>
      <c r="H88" s="128" t="s">
        <v>319</v>
      </c>
      <c r="I88" s="128" t="s">
        <v>1644</v>
      </c>
      <c r="J88" s="128" t="s">
        <v>278</v>
      </c>
      <c r="K88" s="128" t="s">
        <v>155</v>
      </c>
      <c r="L88" s="128" t="s">
        <v>155</v>
      </c>
      <c r="M88" s="128" t="s">
        <v>160</v>
      </c>
      <c r="N88" s="128" t="s">
        <v>155</v>
      </c>
      <c r="O88" s="129"/>
    </row>
    <row r="89" spans="1:15" ht="13.7" customHeight="1" thickBot="1">
      <c r="A89" s="410"/>
      <c r="B89" s="413"/>
      <c r="C89" s="117" t="s">
        <v>322</v>
      </c>
      <c r="D89" s="165" t="s">
        <v>567</v>
      </c>
      <c r="E89" s="256">
        <v>10003</v>
      </c>
      <c r="F89" s="256" t="str">
        <f>VLOOKUP(I89,参考表!F:H,3,FALSE)</f>
        <v>10001</v>
      </c>
      <c r="G89" s="128" t="s">
        <v>281</v>
      </c>
      <c r="H89" s="128" t="s">
        <v>319</v>
      </c>
      <c r="I89" s="128" t="s">
        <v>1644</v>
      </c>
      <c r="J89" s="128" t="s">
        <v>278</v>
      </c>
      <c r="K89" s="128" t="s">
        <v>155</v>
      </c>
      <c r="L89" s="128" t="s">
        <v>155</v>
      </c>
      <c r="M89" s="128" t="s">
        <v>160</v>
      </c>
      <c r="N89" s="128" t="s">
        <v>155</v>
      </c>
      <c r="O89" s="129"/>
    </row>
    <row r="90" spans="1:15" ht="13.7" customHeight="1" thickBot="1">
      <c r="A90" s="410"/>
      <c r="B90" s="413"/>
      <c r="C90" s="126" t="s">
        <v>323</v>
      </c>
      <c r="D90" s="166" t="s">
        <v>568</v>
      </c>
      <c r="E90" s="256">
        <v>10001</v>
      </c>
      <c r="F90" s="256" t="str">
        <f>VLOOKUP(I90,参考表!F:H,3,FALSE)</f>
        <v>10001</v>
      </c>
      <c r="G90" s="128" t="s">
        <v>1723</v>
      </c>
      <c r="H90" s="128" t="s">
        <v>291</v>
      </c>
      <c r="I90" s="128" t="s">
        <v>1643</v>
      </c>
      <c r="J90" s="128" t="s">
        <v>274</v>
      </c>
      <c r="K90" s="128" t="s">
        <v>160</v>
      </c>
      <c r="L90" s="128" t="s">
        <v>160</v>
      </c>
      <c r="M90" s="128" t="s">
        <v>160</v>
      </c>
      <c r="N90" s="128" t="s">
        <v>155</v>
      </c>
      <c r="O90" s="129"/>
    </row>
    <row r="91" spans="1:15" ht="13.7" customHeight="1" thickBot="1">
      <c r="A91" s="410"/>
      <c r="B91" s="413"/>
      <c r="C91" s="117" t="s">
        <v>324</v>
      </c>
      <c r="D91" s="291" t="s">
        <v>1724</v>
      </c>
      <c r="E91" s="256" t="s">
        <v>706</v>
      </c>
      <c r="F91" s="256" t="str">
        <f>VLOOKUP(I91,参考表!F:H,3,FALSE)</f>
        <v>01000</v>
      </c>
      <c r="G91" s="140" t="s">
        <v>325</v>
      </c>
      <c r="H91" s="140" t="s">
        <v>325</v>
      </c>
      <c r="I91" s="140" t="s">
        <v>326</v>
      </c>
      <c r="J91" s="119" t="s">
        <v>326</v>
      </c>
      <c r="K91" s="140" t="s">
        <v>155</v>
      </c>
      <c r="L91" s="140" t="s">
        <v>155</v>
      </c>
      <c r="M91" s="140" t="s">
        <v>155</v>
      </c>
      <c r="N91" s="140" t="s">
        <v>155</v>
      </c>
      <c r="O91" s="168"/>
    </row>
    <row r="92" spans="1:15" ht="13.7" customHeight="1" thickBot="1">
      <c r="A92" s="411"/>
      <c r="B92" s="414"/>
      <c r="C92" s="117" t="s">
        <v>327</v>
      </c>
      <c r="D92" s="169" t="s">
        <v>570</v>
      </c>
      <c r="E92" s="256" t="s">
        <v>706</v>
      </c>
      <c r="F92" s="256" t="str">
        <f>VLOOKUP(I92,参考表!F:H,3,FALSE)</f>
        <v>01000</v>
      </c>
      <c r="G92" s="152" t="s">
        <v>325</v>
      </c>
      <c r="H92" s="152" t="s">
        <v>328</v>
      </c>
      <c r="I92" s="152" t="s">
        <v>326</v>
      </c>
      <c r="J92" s="119" t="s">
        <v>326</v>
      </c>
      <c r="K92" s="152" t="s">
        <v>155</v>
      </c>
      <c r="L92" s="152" t="s">
        <v>155</v>
      </c>
      <c r="M92" s="152" t="s">
        <v>155</v>
      </c>
      <c r="N92" s="152" t="s">
        <v>155</v>
      </c>
      <c r="O92" s="170"/>
    </row>
    <row r="93" spans="1:15" ht="13.7" customHeight="1" thickBot="1">
      <c r="A93" s="409" t="s">
        <v>329</v>
      </c>
      <c r="B93" s="412" t="s">
        <v>1757</v>
      </c>
      <c r="C93" s="114" t="s">
        <v>330</v>
      </c>
      <c r="D93" s="135" t="s">
        <v>571</v>
      </c>
      <c r="E93" s="256" t="s">
        <v>918</v>
      </c>
      <c r="F93" s="256" t="str">
        <f>VLOOKUP(I93,参考表!F:H,3,FALSE)</f>
        <v>13000</v>
      </c>
      <c r="G93" s="137" t="s">
        <v>331</v>
      </c>
      <c r="H93" s="137" t="s">
        <v>331</v>
      </c>
      <c r="I93" s="137" t="s">
        <v>332</v>
      </c>
      <c r="J93" s="137" t="s">
        <v>332</v>
      </c>
      <c r="K93" s="137" t="s">
        <v>155</v>
      </c>
      <c r="L93" s="137" t="s">
        <v>155</v>
      </c>
      <c r="M93" s="137" t="s">
        <v>155</v>
      </c>
      <c r="N93" s="137" t="s">
        <v>155</v>
      </c>
      <c r="O93" s="138"/>
    </row>
    <row r="94" spans="1:15" ht="13.7" customHeight="1" thickBot="1">
      <c r="A94" s="410"/>
      <c r="B94" s="413"/>
      <c r="C94" s="117" t="s">
        <v>333</v>
      </c>
      <c r="D94" s="141" t="s">
        <v>572</v>
      </c>
      <c r="E94" s="256" t="s">
        <v>918</v>
      </c>
      <c r="F94" s="256" t="str">
        <f>VLOOKUP(I94,参考表!F:H,3,FALSE)</f>
        <v>13000</v>
      </c>
      <c r="G94" s="137" t="s">
        <v>331</v>
      </c>
      <c r="H94" s="119" t="s">
        <v>331</v>
      </c>
      <c r="I94" s="122" t="s">
        <v>332</v>
      </c>
      <c r="J94" s="119" t="s">
        <v>332</v>
      </c>
      <c r="K94" s="119" t="s">
        <v>155</v>
      </c>
      <c r="L94" s="119" t="s">
        <v>155</v>
      </c>
      <c r="M94" s="119" t="s">
        <v>155</v>
      </c>
      <c r="N94" s="119" t="s">
        <v>155</v>
      </c>
      <c r="O94" s="139"/>
    </row>
    <row r="95" spans="1:15" ht="13.7" customHeight="1" thickBot="1">
      <c r="A95" s="410"/>
      <c r="B95" s="413"/>
      <c r="C95" s="121" t="s">
        <v>334</v>
      </c>
      <c r="D95" s="148" t="s">
        <v>573</v>
      </c>
      <c r="E95" s="256" t="s">
        <v>918</v>
      </c>
      <c r="F95" s="256" t="str">
        <f>VLOOKUP(I95,参考表!F:H,3,FALSE)</f>
        <v>13000</v>
      </c>
      <c r="G95" s="119" t="s">
        <v>331</v>
      </c>
      <c r="H95" s="119" t="s">
        <v>331</v>
      </c>
      <c r="I95" s="119" t="s">
        <v>332</v>
      </c>
      <c r="J95" s="119" t="s">
        <v>332</v>
      </c>
      <c r="K95" s="119" t="s">
        <v>160</v>
      </c>
      <c r="L95" s="119" t="s">
        <v>160</v>
      </c>
      <c r="M95" s="119" t="s">
        <v>160</v>
      </c>
      <c r="N95" s="119" t="s">
        <v>155</v>
      </c>
      <c r="O95" s="139"/>
    </row>
    <row r="96" spans="1:15" ht="13.7" customHeight="1" thickBot="1">
      <c r="A96" s="410"/>
      <c r="B96" s="413"/>
      <c r="C96" s="117" t="s">
        <v>335</v>
      </c>
      <c r="D96" s="148" t="s">
        <v>574</v>
      </c>
      <c r="E96" s="256" t="s">
        <v>104</v>
      </c>
      <c r="F96" s="256" t="str">
        <f>VLOOKUP(I96,参考表!F:H,3,FALSE)</f>
        <v>09001</v>
      </c>
      <c r="G96" s="119" t="s">
        <v>331</v>
      </c>
      <c r="H96" s="119" t="s">
        <v>331</v>
      </c>
      <c r="I96" s="119" t="s">
        <v>226</v>
      </c>
      <c r="J96" s="119" t="s">
        <v>226</v>
      </c>
      <c r="K96" s="119" t="s">
        <v>160</v>
      </c>
      <c r="L96" s="119" t="s">
        <v>160</v>
      </c>
      <c r="M96" s="119" t="s">
        <v>160</v>
      </c>
      <c r="N96" s="119" t="s">
        <v>155</v>
      </c>
      <c r="O96" s="139"/>
    </row>
    <row r="97" spans="1:15" ht="13.7" customHeight="1" thickBot="1">
      <c r="A97" s="410"/>
      <c r="B97" s="413"/>
      <c r="C97" s="117" t="s">
        <v>336</v>
      </c>
      <c r="D97" s="148" t="s">
        <v>575</v>
      </c>
      <c r="E97" s="256" t="s">
        <v>924</v>
      </c>
      <c r="F97" s="256" t="str">
        <f>VLOOKUP(I97,参考表!F:H,3,FALSE)</f>
        <v>14000</v>
      </c>
      <c r="G97" s="122" t="s">
        <v>337</v>
      </c>
      <c r="H97" s="122" t="s">
        <v>337</v>
      </c>
      <c r="I97" s="131" t="s">
        <v>338</v>
      </c>
      <c r="J97" s="131" t="s">
        <v>338</v>
      </c>
      <c r="K97" s="119" t="s">
        <v>160</v>
      </c>
      <c r="L97" s="119" t="s">
        <v>160</v>
      </c>
      <c r="M97" s="119" t="s">
        <v>160</v>
      </c>
      <c r="N97" s="119" t="s">
        <v>155</v>
      </c>
      <c r="O97" s="139"/>
    </row>
    <row r="98" spans="1:15" ht="13.7" customHeight="1" thickBot="1">
      <c r="A98" s="410"/>
      <c r="B98" s="413"/>
      <c r="C98" s="121" t="s">
        <v>339</v>
      </c>
      <c r="D98" s="141" t="s">
        <v>576</v>
      </c>
      <c r="E98" s="256" t="s">
        <v>918</v>
      </c>
      <c r="F98" s="256" t="str">
        <f>VLOOKUP(I98,参考表!F:H,3,FALSE)</f>
        <v>13000</v>
      </c>
      <c r="G98" s="119" t="s">
        <v>340</v>
      </c>
      <c r="H98" s="119" t="s">
        <v>340</v>
      </c>
      <c r="I98" s="119" t="s">
        <v>332</v>
      </c>
      <c r="J98" s="119" t="s">
        <v>332</v>
      </c>
      <c r="K98" s="128" t="s">
        <v>155</v>
      </c>
      <c r="L98" s="128" t="s">
        <v>155</v>
      </c>
      <c r="M98" s="128" t="s">
        <v>155</v>
      </c>
      <c r="N98" s="128" t="s">
        <v>155</v>
      </c>
      <c r="O98" s="139"/>
    </row>
    <row r="99" spans="1:15" ht="13.7" customHeight="1" thickBot="1">
      <c r="A99" s="410"/>
      <c r="B99" s="413"/>
      <c r="C99" s="117" t="s">
        <v>341</v>
      </c>
      <c r="D99" s="141" t="s">
        <v>555</v>
      </c>
      <c r="E99" s="222" t="s">
        <v>1645</v>
      </c>
      <c r="F99" s="256" t="str">
        <f>VLOOKUP(I99,参考表!F:H,3,FALSE)</f>
        <v>09001</v>
      </c>
      <c r="G99" s="119" t="s">
        <v>234</v>
      </c>
      <c r="H99" s="119" t="s">
        <v>234</v>
      </c>
      <c r="I99" s="119" t="s">
        <v>1646</v>
      </c>
      <c r="J99" s="119" t="s">
        <v>226</v>
      </c>
      <c r="K99" s="119" t="s">
        <v>155</v>
      </c>
      <c r="L99" s="119" t="s">
        <v>155</v>
      </c>
      <c r="M99" s="119" t="s">
        <v>155</v>
      </c>
      <c r="N99" s="119" t="s">
        <v>155</v>
      </c>
      <c r="O99" s="139"/>
    </row>
    <row r="100" spans="1:15" ht="13.7" customHeight="1" thickBot="1">
      <c r="A100" s="411"/>
      <c r="B100" s="414"/>
      <c r="C100" s="117" t="s">
        <v>342</v>
      </c>
      <c r="D100" s="169" t="s">
        <v>87</v>
      </c>
      <c r="E100" s="256">
        <v>14001</v>
      </c>
      <c r="F100" s="256" t="str">
        <f>VLOOKUP(I100,参考表!F:H,3,FALSE)</f>
        <v>14001</v>
      </c>
      <c r="G100" s="152" t="s">
        <v>337</v>
      </c>
      <c r="H100" s="152" t="s">
        <v>337</v>
      </c>
      <c r="I100" s="122" t="s">
        <v>1761</v>
      </c>
      <c r="J100" s="131" t="s">
        <v>1762</v>
      </c>
      <c r="K100" s="133" t="s">
        <v>155</v>
      </c>
      <c r="L100" s="133" t="s">
        <v>155</v>
      </c>
      <c r="M100" s="133" t="s">
        <v>155</v>
      </c>
      <c r="N100" s="133" t="s">
        <v>155</v>
      </c>
      <c r="O100" s="170"/>
    </row>
    <row r="101" spans="1:15" ht="13.7" customHeight="1" thickBot="1">
      <c r="A101" s="409" t="s">
        <v>343</v>
      </c>
      <c r="B101" s="412" t="s">
        <v>344</v>
      </c>
      <c r="C101" s="114" t="s">
        <v>345</v>
      </c>
      <c r="D101" s="171" t="s">
        <v>577</v>
      </c>
      <c r="E101" s="256" t="s">
        <v>912</v>
      </c>
      <c r="F101" s="256" t="str">
        <f>VLOOKUP(I101,参考表!F:H,3,FALSE)</f>
        <v>12000</v>
      </c>
      <c r="G101" s="137" t="s">
        <v>346</v>
      </c>
      <c r="H101" s="137" t="s">
        <v>346</v>
      </c>
      <c r="I101" s="137" t="s">
        <v>347</v>
      </c>
      <c r="J101" s="137" t="s">
        <v>347</v>
      </c>
      <c r="K101" s="156" t="s">
        <v>160</v>
      </c>
      <c r="L101" s="156" t="s">
        <v>160</v>
      </c>
      <c r="M101" s="156" t="s">
        <v>160</v>
      </c>
      <c r="N101" s="156" t="s">
        <v>155</v>
      </c>
      <c r="O101" s="172" t="s">
        <v>348</v>
      </c>
    </row>
    <row r="102" spans="1:15" ht="13.7" customHeight="1" thickBot="1">
      <c r="A102" s="410"/>
      <c r="B102" s="413"/>
      <c r="C102" s="126" t="s">
        <v>349</v>
      </c>
      <c r="D102" s="173" t="s">
        <v>578</v>
      </c>
      <c r="E102" s="256" t="s">
        <v>912</v>
      </c>
      <c r="F102" s="256" t="str">
        <f>VLOOKUP(I102,参考表!F:H,3,FALSE)</f>
        <v>12000</v>
      </c>
      <c r="G102" s="140" t="s">
        <v>346</v>
      </c>
      <c r="H102" s="140" t="s">
        <v>346</v>
      </c>
      <c r="I102" s="128" t="s">
        <v>347</v>
      </c>
      <c r="J102" s="128" t="s">
        <v>347</v>
      </c>
      <c r="K102" s="128" t="s">
        <v>160</v>
      </c>
      <c r="L102" s="128" t="s">
        <v>160</v>
      </c>
      <c r="M102" s="128" t="s">
        <v>160</v>
      </c>
      <c r="N102" s="128" t="s">
        <v>155</v>
      </c>
      <c r="O102" s="174" t="s">
        <v>348</v>
      </c>
    </row>
    <row r="103" spans="1:15" ht="13.7" customHeight="1" thickBot="1">
      <c r="A103" s="410"/>
      <c r="B103" s="413"/>
      <c r="C103" s="117" t="s">
        <v>350</v>
      </c>
      <c r="D103" s="130" t="s">
        <v>579</v>
      </c>
      <c r="E103" s="256" t="s">
        <v>912</v>
      </c>
      <c r="F103" s="256" t="str">
        <f>VLOOKUP(I103,参考表!F:H,3,FALSE)</f>
        <v>12000</v>
      </c>
      <c r="G103" s="128" t="s">
        <v>351</v>
      </c>
      <c r="H103" s="128" t="s">
        <v>351</v>
      </c>
      <c r="I103" s="128" t="s">
        <v>347</v>
      </c>
      <c r="J103" s="175" t="s">
        <v>347</v>
      </c>
      <c r="K103" s="175" t="s">
        <v>155</v>
      </c>
      <c r="L103" s="175" t="s">
        <v>155</v>
      </c>
      <c r="M103" s="175" t="s">
        <v>155</v>
      </c>
      <c r="N103" s="175" t="s">
        <v>155</v>
      </c>
      <c r="O103" s="176"/>
    </row>
    <row r="104" spans="1:15" ht="13.7" customHeight="1" thickBot="1">
      <c r="A104" s="410"/>
      <c r="B104" s="413"/>
      <c r="C104" s="121" t="s">
        <v>352</v>
      </c>
      <c r="D104" s="130" t="s">
        <v>580</v>
      </c>
      <c r="E104" s="222" t="s">
        <v>1651</v>
      </c>
      <c r="F104" s="256" t="str">
        <f>VLOOKUP(I104,参考表!F:H,3,FALSE)</f>
        <v>12000</v>
      </c>
      <c r="G104" s="140" t="s">
        <v>346</v>
      </c>
      <c r="H104" s="128" t="s">
        <v>351</v>
      </c>
      <c r="I104" s="175" t="s">
        <v>347</v>
      </c>
      <c r="J104" s="175" t="s">
        <v>347</v>
      </c>
      <c r="K104" s="175" t="s">
        <v>155</v>
      </c>
      <c r="L104" s="175" t="s">
        <v>155</v>
      </c>
      <c r="M104" s="175" t="s">
        <v>155</v>
      </c>
      <c r="N104" s="175" t="s">
        <v>155</v>
      </c>
      <c r="O104" s="176"/>
    </row>
    <row r="105" spans="1:15" ht="13.7" customHeight="1" thickBot="1">
      <c r="A105" s="410"/>
      <c r="B105" s="413"/>
      <c r="C105" s="117" t="s">
        <v>354</v>
      </c>
      <c r="D105" s="141" t="s">
        <v>581</v>
      </c>
      <c r="E105" s="256" t="s">
        <v>912</v>
      </c>
      <c r="F105" s="256" t="str">
        <f>VLOOKUP(I105,参考表!F:H,3,FALSE)</f>
        <v>12000</v>
      </c>
      <c r="G105" s="128" t="s">
        <v>346</v>
      </c>
      <c r="H105" s="119" t="s">
        <v>346</v>
      </c>
      <c r="I105" s="128" t="s">
        <v>347</v>
      </c>
      <c r="J105" s="175" t="s">
        <v>347</v>
      </c>
      <c r="K105" s="175" t="s">
        <v>155</v>
      </c>
      <c r="L105" s="175" t="s">
        <v>155</v>
      </c>
      <c r="M105" s="175" t="s">
        <v>155</v>
      </c>
      <c r="N105" s="175" t="s">
        <v>155</v>
      </c>
      <c r="O105" s="129"/>
    </row>
    <row r="106" spans="1:15" ht="13.7" customHeight="1" thickBot="1">
      <c r="A106" s="410"/>
      <c r="B106" s="413"/>
      <c r="C106" s="117" t="s">
        <v>355</v>
      </c>
      <c r="D106" s="141" t="s">
        <v>582</v>
      </c>
      <c r="E106" s="256" t="s">
        <v>912</v>
      </c>
      <c r="F106" s="256" t="str">
        <f>VLOOKUP(I106,参考表!F:H,3,FALSE)</f>
        <v>12000</v>
      </c>
      <c r="G106" s="128" t="s">
        <v>351</v>
      </c>
      <c r="H106" s="128" t="s">
        <v>351</v>
      </c>
      <c r="I106" s="128" t="s">
        <v>347</v>
      </c>
      <c r="J106" s="175" t="s">
        <v>347</v>
      </c>
      <c r="K106" s="175" t="s">
        <v>155</v>
      </c>
      <c r="L106" s="175" t="s">
        <v>155</v>
      </c>
      <c r="M106" s="175" t="s">
        <v>155</v>
      </c>
      <c r="N106" s="175" t="s">
        <v>155</v>
      </c>
      <c r="O106" s="129"/>
    </row>
    <row r="107" spans="1:15" ht="13.7" customHeight="1" thickBot="1">
      <c r="A107" s="410"/>
      <c r="B107" s="413"/>
      <c r="C107" s="117" t="s">
        <v>356</v>
      </c>
      <c r="D107" s="141" t="s">
        <v>578</v>
      </c>
      <c r="E107" s="256" t="s">
        <v>912</v>
      </c>
      <c r="F107" s="256" t="str">
        <f>VLOOKUP(I107,参考表!F:H,3,FALSE)</f>
        <v>12000</v>
      </c>
      <c r="G107" s="128" t="s">
        <v>346</v>
      </c>
      <c r="H107" s="119" t="s">
        <v>346</v>
      </c>
      <c r="I107" s="128" t="s">
        <v>347</v>
      </c>
      <c r="J107" s="175" t="s">
        <v>347</v>
      </c>
      <c r="K107" s="175" t="s">
        <v>155</v>
      </c>
      <c r="L107" s="175" t="s">
        <v>155</v>
      </c>
      <c r="M107" s="175" t="s">
        <v>155</v>
      </c>
      <c r="N107" s="175" t="s">
        <v>155</v>
      </c>
      <c r="O107" s="120" t="s">
        <v>357</v>
      </c>
    </row>
    <row r="108" spans="1:15" ht="13.7" customHeight="1" thickBot="1">
      <c r="A108" s="410"/>
      <c r="B108" s="413"/>
      <c r="C108" s="126" t="s">
        <v>358</v>
      </c>
      <c r="D108" s="177" t="s">
        <v>583</v>
      </c>
      <c r="E108" s="256" t="s">
        <v>912</v>
      </c>
      <c r="F108" s="256" t="str">
        <f>VLOOKUP(I108,参考表!F:H,3,FALSE)</f>
        <v>12000</v>
      </c>
      <c r="G108" s="128" t="s">
        <v>359</v>
      </c>
      <c r="H108" s="178" t="s">
        <v>359</v>
      </c>
      <c r="I108" s="128" t="s">
        <v>347</v>
      </c>
      <c r="J108" s="175" t="s">
        <v>347</v>
      </c>
      <c r="K108" s="175" t="s">
        <v>155</v>
      </c>
      <c r="L108" s="175" t="s">
        <v>155</v>
      </c>
      <c r="M108" s="175" t="s">
        <v>155</v>
      </c>
      <c r="N108" s="175" t="s">
        <v>155</v>
      </c>
      <c r="O108" s="129"/>
    </row>
    <row r="109" spans="1:15" ht="13.7" customHeight="1" thickBot="1">
      <c r="A109" s="411"/>
      <c r="B109" s="414"/>
      <c r="C109" s="117" t="s">
        <v>360</v>
      </c>
      <c r="D109" s="179" t="s">
        <v>584</v>
      </c>
      <c r="E109" s="256" t="s">
        <v>912</v>
      </c>
      <c r="F109" s="256" t="str">
        <f>VLOOKUP(I109,参考表!F:H,3,FALSE)</f>
        <v>12000</v>
      </c>
      <c r="G109" s="133" t="s">
        <v>359</v>
      </c>
      <c r="H109" s="180" t="s">
        <v>359</v>
      </c>
      <c r="I109" s="128" t="s">
        <v>347</v>
      </c>
      <c r="J109" s="175" t="s">
        <v>347</v>
      </c>
      <c r="K109" s="181" t="s">
        <v>155</v>
      </c>
      <c r="L109" s="181" t="s">
        <v>155</v>
      </c>
      <c r="M109" s="181" t="s">
        <v>155</v>
      </c>
      <c r="N109" s="181" t="s">
        <v>155</v>
      </c>
      <c r="O109" s="182"/>
    </row>
    <row r="110" spans="1:15" ht="13.7" customHeight="1" thickBot="1">
      <c r="A110" s="409" t="s">
        <v>361</v>
      </c>
      <c r="B110" s="412" t="s">
        <v>362</v>
      </c>
      <c r="C110" s="114" t="s">
        <v>363</v>
      </c>
      <c r="D110" s="135" t="s">
        <v>585</v>
      </c>
      <c r="E110" s="256" t="s">
        <v>810</v>
      </c>
      <c r="F110" s="256" t="str">
        <f>VLOOKUP(I110,参考表!F:H,3,FALSE)</f>
        <v>05001</v>
      </c>
      <c r="G110" s="137" t="s">
        <v>364</v>
      </c>
      <c r="H110" s="137" t="s">
        <v>364</v>
      </c>
      <c r="I110" s="137" t="s">
        <v>365</v>
      </c>
      <c r="J110" s="137" t="s">
        <v>365</v>
      </c>
      <c r="K110" s="137" t="s">
        <v>155</v>
      </c>
      <c r="L110" s="137" t="s">
        <v>155</v>
      </c>
      <c r="M110" s="137" t="s">
        <v>155</v>
      </c>
      <c r="N110" s="137" t="s">
        <v>155</v>
      </c>
      <c r="O110" s="183" t="s">
        <v>366</v>
      </c>
    </row>
    <row r="111" spans="1:15" ht="13.7" customHeight="1" thickBot="1">
      <c r="A111" s="410"/>
      <c r="B111" s="413"/>
      <c r="C111" s="117" t="s">
        <v>367</v>
      </c>
      <c r="D111" s="141" t="s">
        <v>586</v>
      </c>
      <c r="E111" s="256" t="s">
        <v>810</v>
      </c>
      <c r="F111" s="256" t="str">
        <f>VLOOKUP(I111,参考表!F:H,3,FALSE)</f>
        <v>05001</v>
      </c>
      <c r="G111" s="119" t="s">
        <v>368</v>
      </c>
      <c r="H111" s="119" t="s">
        <v>368</v>
      </c>
      <c r="I111" s="119" t="s">
        <v>365</v>
      </c>
      <c r="J111" s="119" t="s">
        <v>365</v>
      </c>
      <c r="K111" s="119" t="s">
        <v>155</v>
      </c>
      <c r="L111" s="119" t="s">
        <v>155</v>
      </c>
      <c r="M111" s="119" t="s">
        <v>155</v>
      </c>
      <c r="N111" s="119" t="s">
        <v>155</v>
      </c>
      <c r="O111" s="144" t="s">
        <v>369</v>
      </c>
    </row>
    <row r="112" spans="1:15" ht="13.7" customHeight="1" thickBot="1">
      <c r="A112" s="410"/>
      <c r="B112" s="413"/>
      <c r="C112" s="117" t="s">
        <v>370</v>
      </c>
      <c r="D112" s="141" t="s">
        <v>587</v>
      </c>
      <c r="E112" s="256" t="s">
        <v>812</v>
      </c>
      <c r="F112" s="256" t="str">
        <f>VLOOKUP(I112,参考表!F:H,3,FALSE)</f>
        <v>05002</v>
      </c>
      <c r="G112" s="119" t="s">
        <v>371</v>
      </c>
      <c r="H112" s="119" t="s">
        <v>371</v>
      </c>
      <c r="I112" s="119" t="s">
        <v>372</v>
      </c>
      <c r="J112" s="119" t="s">
        <v>372</v>
      </c>
      <c r="K112" s="119" t="s">
        <v>155</v>
      </c>
      <c r="L112" s="119" t="s">
        <v>155</v>
      </c>
      <c r="M112" s="119" t="s">
        <v>155</v>
      </c>
      <c r="N112" s="119" t="s">
        <v>155</v>
      </c>
      <c r="O112" s="145"/>
    </row>
    <row r="113" spans="1:15" ht="13.7" customHeight="1" thickBot="1">
      <c r="A113" s="410"/>
      <c r="B113" s="413"/>
      <c r="C113" s="117" t="s">
        <v>373</v>
      </c>
      <c r="D113" s="141" t="s">
        <v>580</v>
      </c>
      <c r="E113" s="256" t="s">
        <v>812</v>
      </c>
      <c r="F113" s="256" t="str">
        <f>VLOOKUP(I113,参考表!F:H,3,FALSE)</f>
        <v>05002</v>
      </c>
      <c r="G113" s="119" t="s">
        <v>353</v>
      </c>
      <c r="H113" s="119" t="s">
        <v>371</v>
      </c>
      <c r="I113" s="119" t="s">
        <v>372</v>
      </c>
      <c r="J113" s="119" t="s">
        <v>372</v>
      </c>
      <c r="K113" s="119" t="s">
        <v>155</v>
      </c>
      <c r="L113" s="119" t="s">
        <v>155</v>
      </c>
      <c r="M113" s="119" t="s">
        <v>155</v>
      </c>
      <c r="N113" s="119" t="s">
        <v>155</v>
      </c>
      <c r="O113" s="145"/>
    </row>
    <row r="114" spans="1:15" ht="13.7" customHeight="1" thickBot="1">
      <c r="A114" s="410"/>
      <c r="B114" s="413"/>
      <c r="C114" s="126" t="s">
        <v>374</v>
      </c>
      <c r="D114" s="141" t="s">
        <v>588</v>
      </c>
      <c r="E114" s="256" t="s">
        <v>812</v>
      </c>
      <c r="F114" s="256" t="str">
        <f>VLOOKUP(I114,参考表!F:H,3,FALSE)</f>
        <v>05002</v>
      </c>
      <c r="G114" s="119" t="s">
        <v>353</v>
      </c>
      <c r="H114" s="119" t="s">
        <v>353</v>
      </c>
      <c r="I114" s="119" t="s">
        <v>372</v>
      </c>
      <c r="J114" s="119" t="s">
        <v>372</v>
      </c>
      <c r="K114" s="119" t="s">
        <v>155</v>
      </c>
      <c r="L114" s="119" t="s">
        <v>155</v>
      </c>
      <c r="M114" s="119" t="s">
        <v>155</v>
      </c>
      <c r="N114" s="119" t="s">
        <v>155</v>
      </c>
      <c r="O114" s="145"/>
    </row>
    <row r="115" spans="1:15" ht="13.7" customHeight="1" thickBot="1">
      <c r="A115" s="410"/>
      <c r="B115" s="413"/>
      <c r="C115" s="117" t="s">
        <v>375</v>
      </c>
      <c r="D115" s="141" t="s">
        <v>589</v>
      </c>
      <c r="E115" s="256" t="s">
        <v>812</v>
      </c>
      <c r="F115" s="256" t="str">
        <f>VLOOKUP(I115,参考表!F:H,3,FALSE)</f>
        <v>05002</v>
      </c>
      <c r="G115" s="119" t="s">
        <v>376</v>
      </c>
      <c r="H115" s="119" t="s">
        <v>376</v>
      </c>
      <c r="I115" s="119" t="s">
        <v>372</v>
      </c>
      <c r="J115" s="119" t="s">
        <v>372</v>
      </c>
      <c r="K115" s="119" t="s">
        <v>155</v>
      </c>
      <c r="L115" s="119" t="s">
        <v>155</v>
      </c>
      <c r="M115" s="119" t="s">
        <v>155</v>
      </c>
      <c r="N115" s="119" t="s">
        <v>155</v>
      </c>
      <c r="O115" s="145"/>
    </row>
    <row r="116" spans="1:15" ht="13.7" customHeight="1" thickBot="1">
      <c r="A116" s="411"/>
      <c r="B116" s="414"/>
      <c r="C116" s="117" t="s">
        <v>377</v>
      </c>
      <c r="D116" s="169" t="s">
        <v>590</v>
      </c>
      <c r="E116" s="256" t="s">
        <v>812</v>
      </c>
      <c r="F116" s="256" t="str">
        <f>VLOOKUP(I116,参考表!F:H,3,FALSE)</f>
        <v>05002</v>
      </c>
      <c r="G116" s="152" t="s">
        <v>1750</v>
      </c>
      <c r="H116" s="152" t="s">
        <v>1750</v>
      </c>
      <c r="I116" s="119" t="s">
        <v>372</v>
      </c>
      <c r="J116" s="119" t="s">
        <v>372</v>
      </c>
      <c r="K116" s="152" t="s">
        <v>155</v>
      </c>
      <c r="L116" s="152" t="s">
        <v>155</v>
      </c>
      <c r="M116" s="152" t="s">
        <v>155</v>
      </c>
      <c r="N116" s="152" t="s">
        <v>155</v>
      </c>
      <c r="O116" s="154"/>
    </row>
    <row r="117" spans="1:15" ht="13.7" customHeight="1" thickBot="1">
      <c r="A117" s="425" t="s">
        <v>169</v>
      </c>
      <c r="B117" s="432" t="s">
        <v>378</v>
      </c>
      <c r="C117" s="114" t="s">
        <v>379</v>
      </c>
      <c r="D117" s="184" t="s">
        <v>591</v>
      </c>
      <c r="E117" s="222" t="s">
        <v>1770</v>
      </c>
      <c r="F117" s="222" t="s">
        <v>1770</v>
      </c>
      <c r="G117" s="185" t="s">
        <v>1713</v>
      </c>
      <c r="H117" s="185" t="s">
        <v>1713</v>
      </c>
      <c r="I117" s="185" t="s">
        <v>396</v>
      </c>
      <c r="J117" s="185" t="s">
        <v>178</v>
      </c>
      <c r="K117" s="186" t="s">
        <v>155</v>
      </c>
      <c r="L117" s="186" t="s">
        <v>155</v>
      </c>
      <c r="M117" s="186" t="s">
        <v>155</v>
      </c>
      <c r="N117" s="186" t="s">
        <v>155</v>
      </c>
      <c r="O117" s="187"/>
    </row>
    <row r="118" spans="1:15" ht="13.7" customHeight="1" thickBot="1">
      <c r="A118" s="431"/>
      <c r="B118" s="433"/>
      <c r="C118" s="114" t="s">
        <v>379</v>
      </c>
      <c r="D118" s="188" t="s">
        <v>592</v>
      </c>
      <c r="E118" s="222" t="s">
        <v>1770</v>
      </c>
      <c r="F118" s="222" t="s">
        <v>1770</v>
      </c>
      <c r="G118" s="185" t="s">
        <v>1713</v>
      </c>
      <c r="H118" s="185" t="s">
        <v>1713</v>
      </c>
      <c r="I118" s="185" t="s">
        <v>396</v>
      </c>
      <c r="J118" s="185" t="s">
        <v>178</v>
      </c>
      <c r="K118" s="186" t="s">
        <v>155</v>
      </c>
      <c r="L118" s="186" t="s">
        <v>155</v>
      </c>
      <c r="M118" s="186" t="s">
        <v>155</v>
      </c>
      <c r="N118" s="186" t="s">
        <v>155</v>
      </c>
      <c r="O118" s="189"/>
    </row>
    <row r="119" spans="1:15" ht="13.7" customHeight="1" thickBot="1">
      <c r="A119" s="431"/>
      <c r="B119" s="433"/>
      <c r="C119" s="114" t="s">
        <v>379</v>
      </c>
      <c r="D119" s="188" t="s">
        <v>593</v>
      </c>
      <c r="E119" s="256" t="s">
        <v>868</v>
      </c>
      <c r="F119" s="256" t="s">
        <v>868</v>
      </c>
      <c r="G119" s="185" t="s">
        <v>1713</v>
      </c>
      <c r="H119" s="185" t="s">
        <v>1713</v>
      </c>
      <c r="I119" s="185" t="s">
        <v>1763</v>
      </c>
      <c r="J119" s="185" t="s">
        <v>178</v>
      </c>
      <c r="K119" s="186" t="s">
        <v>155</v>
      </c>
      <c r="L119" s="186" t="s">
        <v>155</v>
      </c>
      <c r="M119" s="186" t="s">
        <v>155</v>
      </c>
      <c r="N119" s="186" t="s">
        <v>155</v>
      </c>
      <c r="O119" s="189"/>
    </row>
    <row r="120" spans="1:15" ht="13.7" customHeight="1" thickBot="1">
      <c r="A120" s="426"/>
      <c r="B120" s="433"/>
      <c r="C120" s="117" t="s">
        <v>380</v>
      </c>
      <c r="D120" s="118" t="s">
        <v>594</v>
      </c>
      <c r="E120" s="256" t="s">
        <v>868</v>
      </c>
      <c r="F120" s="256" t="str">
        <f>VLOOKUP(I120,参考表!F:H,3,FALSE)</f>
        <v>08001</v>
      </c>
      <c r="G120" s="178" t="s">
        <v>176</v>
      </c>
      <c r="H120" s="119" t="s">
        <v>176</v>
      </c>
      <c r="I120" s="178" t="s">
        <v>239</v>
      </c>
      <c r="J120" s="143" t="s">
        <v>178</v>
      </c>
      <c r="K120" s="143" t="s">
        <v>155</v>
      </c>
      <c r="L120" s="143" t="s">
        <v>155</v>
      </c>
      <c r="M120" s="143" t="s">
        <v>155</v>
      </c>
      <c r="N120" s="143" t="s">
        <v>155</v>
      </c>
      <c r="O120" s="129" t="s">
        <v>381</v>
      </c>
    </row>
    <row r="121" spans="1:15" ht="13.7" customHeight="1" thickBot="1">
      <c r="A121" s="426"/>
      <c r="B121" s="433"/>
      <c r="C121" s="121" t="s">
        <v>382</v>
      </c>
      <c r="D121" s="141" t="s">
        <v>595</v>
      </c>
      <c r="E121" s="256" t="s">
        <v>868</v>
      </c>
      <c r="F121" s="256" t="str">
        <f>VLOOKUP(I121,参考表!F:H,3,FALSE)</f>
        <v>08001</v>
      </c>
      <c r="G121" s="178" t="s">
        <v>383</v>
      </c>
      <c r="H121" s="119" t="s">
        <v>383</v>
      </c>
      <c r="I121" s="178" t="s">
        <v>239</v>
      </c>
      <c r="J121" s="143" t="s">
        <v>178</v>
      </c>
      <c r="K121" s="143" t="s">
        <v>155</v>
      </c>
      <c r="L121" s="143" t="s">
        <v>155</v>
      </c>
      <c r="M121" s="143" t="s">
        <v>155</v>
      </c>
      <c r="N121" s="143" t="s">
        <v>155</v>
      </c>
      <c r="O121" s="176"/>
    </row>
    <row r="122" spans="1:15" ht="13.7" customHeight="1" thickBot="1">
      <c r="A122" s="426"/>
      <c r="B122" s="433"/>
      <c r="C122" s="117" t="s">
        <v>384</v>
      </c>
      <c r="D122" s="130" t="s">
        <v>1777</v>
      </c>
      <c r="E122" s="256" t="s">
        <v>868</v>
      </c>
      <c r="F122" s="256" t="str">
        <f>VLOOKUP(I122,参考表!F:H,3,FALSE)</f>
        <v>08001</v>
      </c>
      <c r="G122" s="178" t="s">
        <v>176</v>
      </c>
      <c r="H122" s="119" t="s">
        <v>176</v>
      </c>
      <c r="I122" s="178" t="s">
        <v>239</v>
      </c>
      <c r="J122" s="143" t="s">
        <v>178</v>
      </c>
      <c r="K122" s="143" t="s">
        <v>155</v>
      </c>
      <c r="L122" s="143" t="s">
        <v>155</v>
      </c>
      <c r="M122" s="143" t="s">
        <v>155</v>
      </c>
      <c r="N122" s="143" t="s">
        <v>155</v>
      </c>
      <c r="O122" s="176"/>
    </row>
    <row r="123" spans="1:15" ht="13.7" customHeight="1" thickBot="1">
      <c r="A123" s="426"/>
      <c r="B123" s="433"/>
      <c r="C123" s="117" t="s">
        <v>385</v>
      </c>
      <c r="D123" s="130" t="s">
        <v>597</v>
      </c>
      <c r="E123" s="256" t="s">
        <v>868</v>
      </c>
      <c r="F123" s="256" t="str">
        <f>VLOOKUP(I123,参考表!F:H,3,FALSE)</f>
        <v>08001</v>
      </c>
      <c r="G123" s="178" t="s">
        <v>386</v>
      </c>
      <c r="H123" s="119" t="s">
        <v>176</v>
      </c>
      <c r="I123" s="178" t="s">
        <v>239</v>
      </c>
      <c r="J123" s="143" t="s">
        <v>178</v>
      </c>
      <c r="K123" s="143" t="s">
        <v>155</v>
      </c>
      <c r="L123" s="143" t="s">
        <v>155</v>
      </c>
      <c r="M123" s="143" t="s">
        <v>155</v>
      </c>
      <c r="N123" s="143" t="s">
        <v>155</v>
      </c>
      <c r="O123" s="129"/>
    </row>
    <row r="124" spans="1:15" ht="13.7" customHeight="1" thickBot="1">
      <c r="A124" s="426"/>
      <c r="B124" s="433"/>
      <c r="C124" s="117" t="s">
        <v>387</v>
      </c>
      <c r="D124" s="130" t="s">
        <v>598</v>
      </c>
      <c r="E124" s="256" t="s">
        <v>868</v>
      </c>
      <c r="F124" s="256" t="str">
        <f>VLOOKUP(I124,参考表!F:H,3,FALSE)</f>
        <v>08001</v>
      </c>
      <c r="G124" s="178" t="s">
        <v>176</v>
      </c>
      <c r="H124" s="119" t="s">
        <v>176</v>
      </c>
      <c r="I124" s="178" t="s">
        <v>239</v>
      </c>
      <c r="J124" s="143" t="s">
        <v>178</v>
      </c>
      <c r="K124" s="143" t="s">
        <v>155</v>
      </c>
      <c r="L124" s="143" t="s">
        <v>155</v>
      </c>
      <c r="M124" s="143" t="s">
        <v>155</v>
      </c>
      <c r="N124" s="143" t="s">
        <v>155</v>
      </c>
      <c r="O124" s="129"/>
    </row>
    <row r="125" spans="1:15" ht="13.7" customHeight="1" thickBot="1">
      <c r="A125" s="426"/>
      <c r="B125" s="433"/>
      <c r="C125" s="126" t="s">
        <v>388</v>
      </c>
      <c r="D125" s="118" t="s">
        <v>528</v>
      </c>
      <c r="E125" s="256" t="s">
        <v>868</v>
      </c>
      <c r="F125" s="256" t="str">
        <f>VLOOKUP(I125,参考表!F:H,3,FALSE)</f>
        <v>08001</v>
      </c>
      <c r="G125" s="178" t="s">
        <v>176</v>
      </c>
      <c r="H125" s="119" t="s">
        <v>176</v>
      </c>
      <c r="I125" s="178" t="s">
        <v>239</v>
      </c>
      <c r="J125" s="143" t="s">
        <v>178</v>
      </c>
      <c r="K125" s="143" t="s">
        <v>155</v>
      </c>
      <c r="L125" s="143" t="s">
        <v>155</v>
      </c>
      <c r="M125" s="143" t="s">
        <v>155</v>
      </c>
      <c r="N125" s="143" t="s">
        <v>155</v>
      </c>
      <c r="O125" s="149"/>
    </row>
    <row r="126" spans="1:15" ht="13.7" customHeight="1" thickBot="1">
      <c r="A126" s="426"/>
      <c r="B126" s="433"/>
      <c r="C126" s="117" t="s">
        <v>389</v>
      </c>
      <c r="D126" s="130" t="s">
        <v>599</v>
      </c>
      <c r="E126" s="256" t="s">
        <v>868</v>
      </c>
      <c r="F126" s="256" t="str">
        <f>VLOOKUP(I126,参考表!F:H,3,FALSE)</f>
        <v>08001</v>
      </c>
      <c r="G126" s="178" t="s">
        <v>237</v>
      </c>
      <c r="H126" s="128" t="s">
        <v>176</v>
      </c>
      <c r="I126" s="178" t="s">
        <v>239</v>
      </c>
      <c r="J126" s="143" t="s">
        <v>178</v>
      </c>
      <c r="K126" s="143" t="s">
        <v>155</v>
      </c>
      <c r="L126" s="143" t="s">
        <v>155</v>
      </c>
      <c r="M126" s="143" t="s">
        <v>155</v>
      </c>
      <c r="N126" s="143" t="s">
        <v>155</v>
      </c>
      <c r="O126" s="129"/>
    </row>
    <row r="127" spans="1:15" ht="13.7" customHeight="1" thickBot="1">
      <c r="A127" s="426"/>
      <c r="B127" s="433"/>
      <c r="C127" s="121" t="s">
        <v>390</v>
      </c>
      <c r="D127" s="130" t="s">
        <v>600</v>
      </c>
      <c r="E127" s="256" t="s">
        <v>868</v>
      </c>
      <c r="F127" s="256" t="str">
        <f>VLOOKUP(I127,参考表!F:H,3,FALSE)</f>
        <v>08001</v>
      </c>
      <c r="G127" s="178" t="s">
        <v>176</v>
      </c>
      <c r="H127" s="119" t="s">
        <v>176</v>
      </c>
      <c r="I127" s="178" t="s">
        <v>239</v>
      </c>
      <c r="J127" s="143" t="s">
        <v>178</v>
      </c>
      <c r="K127" s="143" t="s">
        <v>155</v>
      </c>
      <c r="L127" s="143" t="s">
        <v>155</v>
      </c>
      <c r="M127" s="143" t="s">
        <v>155</v>
      </c>
      <c r="N127" s="143" t="s">
        <v>155</v>
      </c>
      <c r="O127" s="129"/>
    </row>
    <row r="128" spans="1:15" ht="13.7" customHeight="1" thickBot="1">
      <c r="A128" s="426"/>
      <c r="B128" s="433"/>
      <c r="C128" s="117" t="s">
        <v>391</v>
      </c>
      <c r="D128" s="130" t="s">
        <v>601</v>
      </c>
      <c r="E128" s="256" t="s">
        <v>868</v>
      </c>
      <c r="F128" s="256" t="str">
        <f>VLOOKUP(I128,参考表!F:H,3,FALSE)</f>
        <v>08001</v>
      </c>
      <c r="G128" s="178" t="s">
        <v>176</v>
      </c>
      <c r="H128" s="119" t="s">
        <v>176</v>
      </c>
      <c r="I128" s="178" t="s">
        <v>239</v>
      </c>
      <c r="J128" s="143" t="s">
        <v>178</v>
      </c>
      <c r="K128" s="143" t="s">
        <v>155</v>
      </c>
      <c r="L128" s="143" t="s">
        <v>155</v>
      </c>
      <c r="M128" s="143" t="s">
        <v>155</v>
      </c>
      <c r="N128" s="143" t="s">
        <v>155</v>
      </c>
      <c r="O128" s="129"/>
    </row>
    <row r="129" spans="1:15" ht="13.7" customHeight="1" thickBot="1">
      <c r="A129" s="426"/>
      <c r="B129" s="433"/>
      <c r="C129" s="117" t="s">
        <v>392</v>
      </c>
      <c r="D129" s="130" t="s">
        <v>602</v>
      </c>
      <c r="E129" s="256" t="s">
        <v>868</v>
      </c>
      <c r="F129" s="256" t="str">
        <f>VLOOKUP(I129,参考表!F:H,3,FALSE)</f>
        <v>08001</v>
      </c>
      <c r="G129" s="178" t="s">
        <v>176</v>
      </c>
      <c r="H129" s="119" t="s">
        <v>176</v>
      </c>
      <c r="I129" s="178" t="s">
        <v>239</v>
      </c>
      <c r="J129" s="143" t="s">
        <v>178</v>
      </c>
      <c r="K129" s="143" t="s">
        <v>155</v>
      </c>
      <c r="L129" s="143" t="s">
        <v>155</v>
      </c>
      <c r="M129" s="143" t="s">
        <v>155</v>
      </c>
      <c r="N129" s="143" t="s">
        <v>155</v>
      </c>
      <c r="O129" s="129"/>
    </row>
    <row r="130" spans="1:15" ht="13.7" customHeight="1" thickBot="1">
      <c r="A130" s="426"/>
      <c r="B130" s="433"/>
      <c r="C130" s="117" t="s">
        <v>393</v>
      </c>
      <c r="D130" s="130" t="s">
        <v>603</v>
      </c>
      <c r="E130" s="256" t="s">
        <v>868</v>
      </c>
      <c r="F130" s="256" t="str">
        <f>VLOOKUP(I130,参考表!F:H,3,FALSE)</f>
        <v>08001</v>
      </c>
      <c r="G130" s="178" t="s">
        <v>176</v>
      </c>
      <c r="H130" s="119" t="s">
        <v>176</v>
      </c>
      <c r="I130" s="178" t="s">
        <v>239</v>
      </c>
      <c r="J130" s="143" t="s">
        <v>178</v>
      </c>
      <c r="K130" s="143" t="s">
        <v>155</v>
      </c>
      <c r="L130" s="143" t="s">
        <v>155</v>
      </c>
      <c r="M130" s="143" t="s">
        <v>155</v>
      </c>
      <c r="N130" s="143" t="s">
        <v>155</v>
      </c>
      <c r="O130" s="129"/>
    </row>
    <row r="131" spans="1:15" ht="13.7" customHeight="1" thickBot="1">
      <c r="A131" s="426"/>
      <c r="B131" s="433"/>
      <c r="C131" s="429" t="s">
        <v>394</v>
      </c>
      <c r="D131" s="257" t="s">
        <v>1655</v>
      </c>
      <c r="E131" s="222" t="s">
        <v>1656</v>
      </c>
      <c r="F131" s="256" t="str">
        <f>VLOOKUP(I131,参考表!F:H,3,FALSE)</f>
        <v>08002</v>
      </c>
      <c r="G131" s="128" t="s">
        <v>395</v>
      </c>
      <c r="H131" s="128" t="s">
        <v>395</v>
      </c>
      <c r="I131" s="119" t="s">
        <v>178</v>
      </c>
      <c r="J131" s="190" t="s">
        <v>396</v>
      </c>
      <c r="K131" s="190" t="s">
        <v>155</v>
      </c>
      <c r="L131" s="190" t="s">
        <v>155</v>
      </c>
      <c r="M131" s="190" t="s">
        <v>155</v>
      </c>
      <c r="N131" s="190" t="s">
        <v>155</v>
      </c>
      <c r="O131" s="435" t="s">
        <v>397</v>
      </c>
    </row>
    <row r="132" spans="1:15" ht="13.7" customHeight="1" thickBot="1">
      <c r="A132" s="426"/>
      <c r="B132" s="433"/>
      <c r="C132" s="429"/>
      <c r="D132" s="130" t="s">
        <v>605</v>
      </c>
      <c r="E132" s="222" t="s">
        <v>1656</v>
      </c>
      <c r="F132" s="256" t="str">
        <f>VLOOKUP(I132,参考表!F:H,3,FALSE)</f>
        <v>08002</v>
      </c>
      <c r="G132" s="128" t="s">
        <v>395</v>
      </c>
      <c r="H132" s="128" t="s">
        <v>395</v>
      </c>
      <c r="I132" s="119" t="s">
        <v>178</v>
      </c>
      <c r="J132" s="190" t="s">
        <v>396</v>
      </c>
      <c r="K132" s="190" t="s">
        <v>155</v>
      </c>
      <c r="L132" s="190" t="s">
        <v>155</v>
      </c>
      <c r="M132" s="190" t="s">
        <v>155</v>
      </c>
      <c r="N132" s="190" t="s">
        <v>155</v>
      </c>
      <c r="O132" s="436"/>
    </row>
    <row r="133" spans="1:15" ht="13.7" customHeight="1" thickBot="1">
      <c r="A133" s="426"/>
      <c r="B133" s="433"/>
      <c r="C133" s="429"/>
      <c r="D133" s="130" t="s">
        <v>606</v>
      </c>
      <c r="E133" s="222" t="s">
        <v>1640</v>
      </c>
      <c r="F133" s="256" t="str">
        <f>VLOOKUP(I133,参考表!F:H,3,FALSE)</f>
        <v>08001</v>
      </c>
      <c r="G133" s="128" t="s">
        <v>176</v>
      </c>
      <c r="H133" s="128" t="s">
        <v>395</v>
      </c>
      <c r="I133" s="119" t="s">
        <v>1647</v>
      </c>
      <c r="J133" s="190" t="s">
        <v>396</v>
      </c>
      <c r="K133" s="190" t="s">
        <v>155</v>
      </c>
      <c r="L133" s="190" t="s">
        <v>155</v>
      </c>
      <c r="M133" s="190" t="s">
        <v>155</v>
      </c>
      <c r="N133" s="190" t="s">
        <v>155</v>
      </c>
      <c r="O133" s="436"/>
    </row>
    <row r="134" spans="1:15" ht="13.7" customHeight="1" thickBot="1">
      <c r="A134" s="426"/>
      <c r="B134" s="433"/>
      <c r="C134" s="429"/>
      <c r="D134" s="130" t="s">
        <v>607</v>
      </c>
      <c r="E134" s="222" t="s">
        <v>1656</v>
      </c>
      <c r="F134" s="256" t="str">
        <f>VLOOKUP(I134,参考表!F:H,3,FALSE)</f>
        <v>08002</v>
      </c>
      <c r="G134" s="128" t="s">
        <v>395</v>
      </c>
      <c r="H134" s="128" t="s">
        <v>395</v>
      </c>
      <c r="I134" s="119" t="s">
        <v>178</v>
      </c>
      <c r="J134" s="190" t="s">
        <v>396</v>
      </c>
      <c r="K134" s="190" t="s">
        <v>155</v>
      </c>
      <c r="L134" s="190" t="s">
        <v>155</v>
      </c>
      <c r="M134" s="190" t="s">
        <v>155</v>
      </c>
      <c r="N134" s="190" t="s">
        <v>155</v>
      </c>
      <c r="O134" s="436"/>
    </row>
    <row r="135" spans="1:15" ht="13.7" customHeight="1" thickBot="1">
      <c r="A135" s="426"/>
      <c r="B135" s="433"/>
      <c r="C135" s="429"/>
      <c r="D135" s="130" t="s">
        <v>608</v>
      </c>
      <c r="E135" s="222" t="s">
        <v>1656</v>
      </c>
      <c r="F135" s="256" t="str">
        <f>VLOOKUP(I135,参考表!F:H,3,FALSE)</f>
        <v>08002</v>
      </c>
      <c r="G135" s="128" t="s">
        <v>395</v>
      </c>
      <c r="H135" s="128" t="s">
        <v>395</v>
      </c>
      <c r="I135" s="119" t="s">
        <v>178</v>
      </c>
      <c r="J135" s="190" t="s">
        <v>396</v>
      </c>
      <c r="K135" s="190" t="s">
        <v>155</v>
      </c>
      <c r="L135" s="190" t="s">
        <v>155</v>
      </c>
      <c r="M135" s="190" t="s">
        <v>155</v>
      </c>
      <c r="N135" s="190" t="s">
        <v>155</v>
      </c>
      <c r="O135" s="436"/>
    </row>
    <row r="136" spans="1:15" ht="13.7" customHeight="1" thickBot="1">
      <c r="A136" s="426"/>
      <c r="B136" s="433"/>
      <c r="C136" s="429"/>
      <c r="D136" s="130" t="s">
        <v>609</v>
      </c>
      <c r="E136" s="222" t="s">
        <v>1656</v>
      </c>
      <c r="F136" s="256" t="str">
        <f>VLOOKUP(I136,参考表!F:H,3,FALSE)</f>
        <v>08002</v>
      </c>
      <c r="G136" s="128" t="s">
        <v>395</v>
      </c>
      <c r="H136" s="128" t="s">
        <v>395</v>
      </c>
      <c r="I136" s="119" t="s">
        <v>178</v>
      </c>
      <c r="J136" s="190" t="s">
        <v>396</v>
      </c>
      <c r="K136" s="190" t="s">
        <v>155</v>
      </c>
      <c r="L136" s="190" t="s">
        <v>155</v>
      </c>
      <c r="M136" s="190" t="s">
        <v>155</v>
      </c>
      <c r="N136" s="190" t="s">
        <v>155</v>
      </c>
      <c r="O136" s="436"/>
    </row>
    <row r="137" spans="1:15" ht="13.7" customHeight="1" thickBot="1">
      <c r="A137" s="426"/>
      <c r="B137" s="433"/>
      <c r="C137" s="429"/>
      <c r="D137" s="130" t="s">
        <v>610</v>
      </c>
      <c r="E137" s="222" t="s">
        <v>1656</v>
      </c>
      <c r="F137" s="256" t="str">
        <f>VLOOKUP(I137,参考表!F:H,3,FALSE)</f>
        <v>08002</v>
      </c>
      <c r="G137" s="128" t="s">
        <v>395</v>
      </c>
      <c r="H137" s="128" t="s">
        <v>395</v>
      </c>
      <c r="I137" s="119" t="s">
        <v>178</v>
      </c>
      <c r="J137" s="190" t="s">
        <v>396</v>
      </c>
      <c r="K137" s="190" t="s">
        <v>155</v>
      </c>
      <c r="L137" s="190" t="s">
        <v>155</v>
      </c>
      <c r="M137" s="190" t="s">
        <v>155</v>
      </c>
      <c r="N137" s="190" t="s">
        <v>155</v>
      </c>
      <c r="O137" s="436"/>
    </row>
    <row r="138" spans="1:15" ht="13.7" customHeight="1" thickBot="1">
      <c r="A138" s="426"/>
      <c r="B138" s="433"/>
      <c r="C138" s="429"/>
      <c r="D138" s="130" t="s">
        <v>611</v>
      </c>
      <c r="E138" s="222" t="s">
        <v>1640</v>
      </c>
      <c r="F138" s="256" t="str">
        <f>VLOOKUP(I138,参考表!F:H,3,FALSE)</f>
        <v>08001</v>
      </c>
      <c r="G138" s="128" t="s">
        <v>176</v>
      </c>
      <c r="H138" s="128" t="s">
        <v>395</v>
      </c>
      <c r="I138" s="119" t="s">
        <v>1647</v>
      </c>
      <c r="J138" s="190" t="s">
        <v>396</v>
      </c>
      <c r="K138" s="190" t="s">
        <v>155</v>
      </c>
      <c r="L138" s="190" t="s">
        <v>155</v>
      </c>
      <c r="M138" s="190" t="s">
        <v>155</v>
      </c>
      <c r="N138" s="190" t="s">
        <v>155</v>
      </c>
      <c r="O138" s="436"/>
    </row>
    <row r="139" spans="1:15" ht="13.7" customHeight="1" thickBot="1">
      <c r="A139" s="426"/>
      <c r="B139" s="433"/>
      <c r="C139" s="429"/>
      <c r="D139" s="130" t="s">
        <v>612</v>
      </c>
      <c r="E139" s="222" t="s">
        <v>1640</v>
      </c>
      <c r="F139" s="256" t="str">
        <f>VLOOKUP(I139,参考表!F:H,3,FALSE)</f>
        <v>08001</v>
      </c>
      <c r="G139" s="128" t="s">
        <v>176</v>
      </c>
      <c r="H139" s="128" t="s">
        <v>395</v>
      </c>
      <c r="I139" s="119" t="s">
        <v>1647</v>
      </c>
      <c r="J139" s="190" t="s">
        <v>396</v>
      </c>
      <c r="K139" s="190" t="s">
        <v>155</v>
      </c>
      <c r="L139" s="190" t="s">
        <v>155</v>
      </c>
      <c r="M139" s="190" t="s">
        <v>155</v>
      </c>
      <c r="N139" s="190" t="s">
        <v>155</v>
      </c>
      <c r="O139" s="436"/>
    </row>
    <row r="140" spans="1:15" ht="13.7" customHeight="1" thickBot="1">
      <c r="A140" s="426"/>
      <c r="B140" s="433"/>
      <c r="C140" s="429"/>
      <c r="D140" s="130" t="s">
        <v>613</v>
      </c>
      <c r="E140" s="222" t="s">
        <v>1640</v>
      </c>
      <c r="F140" s="256" t="str">
        <f>VLOOKUP(I140,参考表!F:H,3,FALSE)</f>
        <v>08001</v>
      </c>
      <c r="G140" s="128" t="s">
        <v>1657</v>
      </c>
      <c r="H140" s="128" t="s">
        <v>395</v>
      </c>
      <c r="I140" s="119" t="s">
        <v>1647</v>
      </c>
      <c r="J140" s="190" t="s">
        <v>396</v>
      </c>
      <c r="K140" s="190" t="s">
        <v>155</v>
      </c>
      <c r="L140" s="190" t="s">
        <v>155</v>
      </c>
      <c r="M140" s="190" t="s">
        <v>155</v>
      </c>
      <c r="N140" s="190" t="s">
        <v>155</v>
      </c>
      <c r="O140" s="437"/>
    </row>
    <row r="141" spans="1:15" ht="13.7" customHeight="1" thickBot="1">
      <c r="A141" s="427"/>
      <c r="B141" s="434"/>
      <c r="C141" s="191" t="s">
        <v>398</v>
      </c>
      <c r="D141" s="192" t="s">
        <v>614</v>
      </c>
      <c r="E141" s="222" t="s">
        <v>1640</v>
      </c>
      <c r="F141" s="256" t="str">
        <f>VLOOKUP(I141,参考表!F:H,3,FALSE)</f>
        <v>08001</v>
      </c>
      <c r="G141" s="119" t="s">
        <v>176</v>
      </c>
      <c r="H141" s="119" t="s">
        <v>176</v>
      </c>
      <c r="I141" s="119" t="s">
        <v>1647</v>
      </c>
      <c r="J141" s="190" t="s">
        <v>178</v>
      </c>
      <c r="K141" s="193" t="s">
        <v>160</v>
      </c>
      <c r="L141" s="193" t="s">
        <v>160</v>
      </c>
      <c r="M141" s="193" t="s">
        <v>160</v>
      </c>
      <c r="N141" s="193" t="s">
        <v>155</v>
      </c>
      <c r="O141" s="194"/>
    </row>
    <row r="142" spans="1:15" ht="13.7" customHeight="1" thickBot="1">
      <c r="A142" s="409" t="s">
        <v>399</v>
      </c>
      <c r="B142" s="412" t="s">
        <v>400</v>
      </c>
      <c r="C142" s="421" t="s">
        <v>401</v>
      </c>
      <c r="D142" s="195" t="s">
        <v>615</v>
      </c>
      <c r="E142" s="256" t="s">
        <v>706</v>
      </c>
      <c r="F142" s="256" t="str">
        <f>VLOOKUP(I142,参考表!F:H,3,FALSE)</f>
        <v>01000</v>
      </c>
      <c r="G142" s="196" t="s">
        <v>328</v>
      </c>
      <c r="H142" s="196" t="s">
        <v>328</v>
      </c>
      <c r="I142" s="196" t="s">
        <v>326</v>
      </c>
      <c r="J142" s="196" t="s">
        <v>326</v>
      </c>
      <c r="K142" s="196" t="s">
        <v>155</v>
      </c>
      <c r="L142" s="196" t="s">
        <v>155</v>
      </c>
      <c r="M142" s="196" t="s">
        <v>160</v>
      </c>
      <c r="N142" s="196" t="s">
        <v>155</v>
      </c>
      <c r="O142" s="423" t="s">
        <v>402</v>
      </c>
    </row>
    <row r="143" spans="1:15" ht="13.7" customHeight="1" thickBot="1">
      <c r="A143" s="410"/>
      <c r="B143" s="413"/>
      <c r="C143" s="422"/>
      <c r="D143" s="197" t="s">
        <v>616</v>
      </c>
      <c r="E143" s="256" t="s">
        <v>706</v>
      </c>
      <c r="F143" s="256" t="str">
        <f>VLOOKUP(I143,参考表!F:H,3,FALSE)</f>
        <v>01000</v>
      </c>
      <c r="G143" s="190" t="s">
        <v>328</v>
      </c>
      <c r="H143" s="190" t="s">
        <v>328</v>
      </c>
      <c r="I143" s="190" t="s">
        <v>326</v>
      </c>
      <c r="J143" s="190" t="s">
        <v>326</v>
      </c>
      <c r="K143" s="190" t="s">
        <v>160</v>
      </c>
      <c r="L143" s="190" t="s">
        <v>160</v>
      </c>
      <c r="M143" s="190" t="s">
        <v>155</v>
      </c>
      <c r="N143" s="190" t="s">
        <v>160</v>
      </c>
      <c r="O143" s="424"/>
    </row>
    <row r="144" spans="1:15" ht="13.7" customHeight="1" thickBot="1">
      <c r="A144" s="410"/>
      <c r="B144" s="413"/>
      <c r="C144" s="422"/>
      <c r="D144" s="197" t="s">
        <v>617</v>
      </c>
      <c r="E144" s="256" t="s">
        <v>706</v>
      </c>
      <c r="F144" s="256" t="str">
        <f>VLOOKUP(I144,参考表!F:H,3,FALSE)</f>
        <v>01000</v>
      </c>
      <c r="G144" s="190" t="s">
        <v>328</v>
      </c>
      <c r="H144" s="190" t="s">
        <v>328</v>
      </c>
      <c r="I144" s="190" t="s">
        <v>326</v>
      </c>
      <c r="J144" s="190" t="s">
        <v>326</v>
      </c>
      <c r="K144" s="190" t="s">
        <v>155</v>
      </c>
      <c r="L144" s="190" t="s">
        <v>155</v>
      </c>
      <c r="M144" s="190" t="s">
        <v>155</v>
      </c>
      <c r="N144" s="190" t="s">
        <v>155</v>
      </c>
      <c r="O144" s="424"/>
    </row>
    <row r="145" spans="1:15" ht="13.7" customHeight="1" thickBot="1">
      <c r="A145" s="410"/>
      <c r="B145" s="413"/>
      <c r="C145" s="422"/>
      <c r="D145" s="197" t="s">
        <v>618</v>
      </c>
      <c r="E145" s="256" t="s">
        <v>706</v>
      </c>
      <c r="F145" s="256" t="str">
        <f>VLOOKUP(I145,参考表!F:H,3,FALSE)</f>
        <v>01000</v>
      </c>
      <c r="G145" s="190" t="s">
        <v>328</v>
      </c>
      <c r="H145" s="190" t="s">
        <v>328</v>
      </c>
      <c r="I145" s="190" t="s">
        <v>326</v>
      </c>
      <c r="J145" s="190" t="s">
        <v>326</v>
      </c>
      <c r="K145" s="190" t="s">
        <v>155</v>
      </c>
      <c r="L145" s="190" t="s">
        <v>155</v>
      </c>
      <c r="M145" s="190" t="s">
        <v>155</v>
      </c>
      <c r="N145" s="190" t="s">
        <v>155</v>
      </c>
      <c r="O145" s="424"/>
    </row>
    <row r="146" spans="1:15" ht="13.7" customHeight="1" thickBot="1">
      <c r="A146" s="410"/>
      <c r="B146" s="413"/>
      <c r="C146" s="422"/>
      <c r="D146" s="197" t="s">
        <v>619</v>
      </c>
      <c r="E146" s="256" t="s">
        <v>706</v>
      </c>
      <c r="F146" s="256" t="str">
        <f>VLOOKUP(I146,参考表!F:H,3,FALSE)</f>
        <v>01000</v>
      </c>
      <c r="G146" s="190" t="s">
        <v>328</v>
      </c>
      <c r="H146" s="190" t="s">
        <v>328</v>
      </c>
      <c r="I146" s="190" t="s">
        <v>326</v>
      </c>
      <c r="J146" s="190" t="s">
        <v>326</v>
      </c>
      <c r="K146" s="190" t="s">
        <v>155</v>
      </c>
      <c r="L146" s="190" t="s">
        <v>155</v>
      </c>
      <c r="M146" s="190" t="s">
        <v>155</v>
      </c>
      <c r="N146" s="190" t="s">
        <v>155</v>
      </c>
      <c r="O146" s="424"/>
    </row>
    <row r="147" spans="1:15" ht="13.7" customHeight="1" thickBot="1">
      <c r="A147" s="410"/>
      <c r="B147" s="413"/>
      <c r="C147" s="422"/>
      <c r="D147" s="197" t="s">
        <v>620</v>
      </c>
      <c r="E147" s="256" t="s">
        <v>706</v>
      </c>
      <c r="F147" s="256" t="str">
        <f>VLOOKUP(I147,参考表!F:H,3,FALSE)</f>
        <v>01000</v>
      </c>
      <c r="G147" s="190" t="s">
        <v>328</v>
      </c>
      <c r="H147" s="190" t="s">
        <v>328</v>
      </c>
      <c r="I147" s="190" t="s">
        <v>326</v>
      </c>
      <c r="J147" s="190" t="s">
        <v>326</v>
      </c>
      <c r="K147" s="190" t="s">
        <v>155</v>
      </c>
      <c r="L147" s="190" t="s">
        <v>155</v>
      </c>
      <c r="M147" s="190" t="s">
        <v>155</v>
      </c>
      <c r="N147" s="190" t="s">
        <v>155</v>
      </c>
      <c r="O147" s="424"/>
    </row>
    <row r="148" spans="1:15" ht="13.7" customHeight="1" thickBot="1">
      <c r="A148" s="410"/>
      <c r="B148" s="413"/>
      <c r="C148" s="422"/>
      <c r="D148" s="197" t="s">
        <v>621</v>
      </c>
      <c r="E148" s="256" t="s">
        <v>706</v>
      </c>
      <c r="F148" s="256" t="str">
        <f>VLOOKUP(I148,参考表!F:H,3,FALSE)</f>
        <v>01000</v>
      </c>
      <c r="G148" s="190" t="s">
        <v>328</v>
      </c>
      <c r="H148" s="190" t="s">
        <v>328</v>
      </c>
      <c r="I148" s="190" t="s">
        <v>326</v>
      </c>
      <c r="J148" s="190" t="s">
        <v>326</v>
      </c>
      <c r="K148" s="190" t="s">
        <v>155</v>
      </c>
      <c r="L148" s="190" t="s">
        <v>155</v>
      </c>
      <c r="M148" s="190" t="s">
        <v>155</v>
      </c>
      <c r="N148" s="190" t="s">
        <v>160</v>
      </c>
      <c r="O148" s="424"/>
    </row>
    <row r="149" spans="1:15" ht="13.7" customHeight="1" thickBot="1">
      <c r="A149" s="410"/>
      <c r="B149" s="413"/>
      <c r="C149" s="422"/>
      <c r="D149" s="197" t="s">
        <v>622</v>
      </c>
      <c r="E149" s="256" t="s">
        <v>706</v>
      </c>
      <c r="F149" s="256" t="str">
        <f>VLOOKUP(I149,参考表!F:H,3,FALSE)</f>
        <v>01000</v>
      </c>
      <c r="G149" s="190" t="s">
        <v>328</v>
      </c>
      <c r="H149" s="190" t="s">
        <v>328</v>
      </c>
      <c r="I149" s="190" t="s">
        <v>326</v>
      </c>
      <c r="J149" s="190" t="s">
        <v>326</v>
      </c>
      <c r="K149" s="190" t="s">
        <v>155</v>
      </c>
      <c r="L149" s="190" t="s">
        <v>155</v>
      </c>
      <c r="M149" s="190" t="s">
        <v>155</v>
      </c>
      <c r="N149" s="190" t="s">
        <v>155</v>
      </c>
      <c r="O149" s="424"/>
    </row>
    <row r="150" spans="1:15" ht="13.7" customHeight="1" thickBot="1">
      <c r="A150" s="410"/>
      <c r="B150" s="413"/>
      <c r="C150" s="422"/>
      <c r="D150" s="197" t="s">
        <v>623</v>
      </c>
      <c r="E150" s="256" t="s">
        <v>706</v>
      </c>
      <c r="F150" s="256" t="str">
        <f>VLOOKUP(I150,参考表!F:H,3,FALSE)</f>
        <v>01000</v>
      </c>
      <c r="G150" s="190" t="s">
        <v>328</v>
      </c>
      <c r="H150" s="190" t="s">
        <v>328</v>
      </c>
      <c r="I150" s="190" t="s">
        <v>326</v>
      </c>
      <c r="J150" s="190" t="s">
        <v>326</v>
      </c>
      <c r="K150" s="190" t="s">
        <v>155</v>
      </c>
      <c r="L150" s="190" t="s">
        <v>155</v>
      </c>
      <c r="M150" s="190" t="s">
        <v>160</v>
      </c>
      <c r="N150" s="190" t="s">
        <v>155</v>
      </c>
      <c r="O150" s="424"/>
    </row>
    <row r="151" spans="1:15" ht="13.7" customHeight="1" thickBot="1">
      <c r="A151" s="411"/>
      <c r="B151" s="414"/>
      <c r="C151" s="198" t="s">
        <v>403</v>
      </c>
      <c r="D151" s="199" t="s">
        <v>624</v>
      </c>
      <c r="E151" s="256" t="s">
        <v>706</v>
      </c>
      <c r="F151" s="256" t="str">
        <f>VLOOKUP(I151,参考表!F:H,3,FALSE)</f>
        <v>01000</v>
      </c>
      <c r="G151" s="193" t="s">
        <v>328</v>
      </c>
      <c r="H151" s="193" t="s">
        <v>328</v>
      </c>
      <c r="I151" s="190" t="s">
        <v>326</v>
      </c>
      <c r="J151" s="190" t="s">
        <v>326</v>
      </c>
      <c r="K151" s="193" t="s">
        <v>155</v>
      </c>
      <c r="L151" s="193" t="s">
        <v>155</v>
      </c>
      <c r="M151" s="193" t="s">
        <v>160</v>
      </c>
      <c r="N151" s="193" t="s">
        <v>155</v>
      </c>
      <c r="O151" s="200"/>
    </row>
    <row r="152" spans="1:15" ht="13.7" customHeight="1" thickBot="1">
      <c r="A152" s="425" t="s">
        <v>404</v>
      </c>
      <c r="B152" s="428" t="s">
        <v>405</v>
      </c>
      <c r="C152" s="201" t="s">
        <v>406</v>
      </c>
      <c r="D152" s="195" t="s">
        <v>625</v>
      </c>
      <c r="E152" s="256" t="s">
        <v>738</v>
      </c>
      <c r="F152" s="256" t="str">
        <f>VLOOKUP(I152,参考表!F:H,3,FALSE)</f>
        <v>03001</v>
      </c>
      <c r="G152" s="196" t="s">
        <v>407</v>
      </c>
      <c r="H152" s="196" t="s">
        <v>237</v>
      </c>
      <c r="I152" s="196" t="s">
        <v>235</v>
      </c>
      <c r="J152" s="196" t="s">
        <v>193</v>
      </c>
      <c r="K152" s="186" t="s">
        <v>155</v>
      </c>
      <c r="L152" s="186" t="s">
        <v>155</v>
      </c>
      <c r="M152" s="186" t="s">
        <v>155</v>
      </c>
      <c r="N152" s="186" t="s">
        <v>155</v>
      </c>
      <c r="O152" s="202"/>
    </row>
    <row r="153" spans="1:15" ht="13.7" customHeight="1" thickBot="1">
      <c r="A153" s="426"/>
      <c r="B153" s="429"/>
      <c r="C153" s="203" t="s">
        <v>408</v>
      </c>
      <c r="D153" s="197" t="s">
        <v>626</v>
      </c>
      <c r="E153" s="256" t="s">
        <v>738</v>
      </c>
      <c r="F153" s="256" t="str">
        <f>VLOOKUP(I153,参考表!F:H,3,FALSE)</f>
        <v>03001</v>
      </c>
      <c r="G153" s="190" t="s">
        <v>409</v>
      </c>
      <c r="H153" s="190" t="s">
        <v>409</v>
      </c>
      <c r="I153" s="190" t="s">
        <v>235</v>
      </c>
      <c r="J153" s="143" t="s">
        <v>193</v>
      </c>
      <c r="K153" s="143" t="s">
        <v>155</v>
      </c>
      <c r="L153" s="143" t="s">
        <v>155</v>
      </c>
      <c r="M153" s="143" t="s">
        <v>155</v>
      </c>
      <c r="N153" s="143" t="s">
        <v>155</v>
      </c>
      <c r="O153" s="149"/>
    </row>
    <row r="154" spans="1:15" ht="13.7" customHeight="1" thickBot="1">
      <c r="A154" s="426"/>
      <c r="B154" s="429"/>
      <c r="C154" s="204" t="s">
        <v>410</v>
      </c>
      <c r="D154" s="130" t="s">
        <v>627</v>
      </c>
      <c r="E154" s="256" t="s">
        <v>738</v>
      </c>
      <c r="F154" s="256" t="str">
        <f>VLOOKUP(I154,参考表!F:H,3,FALSE)</f>
        <v>03001</v>
      </c>
      <c r="G154" s="190" t="s">
        <v>407</v>
      </c>
      <c r="H154" s="190" t="s">
        <v>409</v>
      </c>
      <c r="I154" s="190" t="s">
        <v>235</v>
      </c>
      <c r="J154" s="143" t="s">
        <v>193</v>
      </c>
      <c r="K154" s="143" t="s">
        <v>155</v>
      </c>
      <c r="L154" s="143" t="s">
        <v>155</v>
      </c>
      <c r="M154" s="143" t="s">
        <v>155</v>
      </c>
      <c r="N154" s="143" t="s">
        <v>155</v>
      </c>
      <c r="O154" s="129"/>
    </row>
    <row r="155" spans="1:15" ht="13.7" customHeight="1" thickBot="1">
      <c r="A155" s="426"/>
      <c r="B155" s="429"/>
      <c r="C155" s="203" t="s">
        <v>411</v>
      </c>
      <c r="D155" s="141" t="s">
        <v>628</v>
      </c>
      <c r="E155" s="256" t="s">
        <v>738</v>
      </c>
      <c r="F155" s="256" t="str">
        <f>VLOOKUP(I155,参考表!F:H,3,FALSE)</f>
        <v>03001</v>
      </c>
      <c r="G155" s="190" t="s">
        <v>409</v>
      </c>
      <c r="H155" s="190" t="s">
        <v>409</v>
      </c>
      <c r="I155" s="190" t="s">
        <v>235</v>
      </c>
      <c r="J155" s="143" t="s">
        <v>193</v>
      </c>
      <c r="K155" s="143" t="s">
        <v>155</v>
      </c>
      <c r="L155" s="143" t="s">
        <v>155</v>
      </c>
      <c r="M155" s="143" t="s">
        <v>155</v>
      </c>
      <c r="N155" s="143" t="s">
        <v>155</v>
      </c>
      <c r="O155" s="129"/>
    </row>
    <row r="156" spans="1:15" ht="13.7" customHeight="1" thickBot="1">
      <c r="A156" s="426"/>
      <c r="B156" s="429"/>
      <c r="C156" s="203" t="s">
        <v>412</v>
      </c>
      <c r="D156" s="197" t="s">
        <v>629</v>
      </c>
      <c r="E156" s="256" t="s">
        <v>738</v>
      </c>
      <c r="F156" s="256" t="str">
        <f>VLOOKUP(I156,参考表!F:H,3,FALSE)</f>
        <v>03001</v>
      </c>
      <c r="G156" s="190" t="s">
        <v>407</v>
      </c>
      <c r="H156" s="190" t="s">
        <v>407</v>
      </c>
      <c r="I156" s="190" t="s">
        <v>235</v>
      </c>
      <c r="J156" s="143" t="s">
        <v>193</v>
      </c>
      <c r="K156" s="143" t="s">
        <v>155</v>
      </c>
      <c r="L156" s="143" t="s">
        <v>155</v>
      </c>
      <c r="M156" s="143" t="s">
        <v>155</v>
      </c>
      <c r="N156" s="143" t="s">
        <v>155</v>
      </c>
      <c r="O156" s="149"/>
    </row>
    <row r="157" spans="1:15" ht="13.7" customHeight="1" thickBot="1">
      <c r="A157" s="426"/>
      <c r="B157" s="429"/>
      <c r="C157" s="205" t="s">
        <v>413</v>
      </c>
      <c r="D157" s="130" t="s">
        <v>630</v>
      </c>
      <c r="E157" s="256" t="s">
        <v>738</v>
      </c>
      <c r="F157" s="256" t="str">
        <f>VLOOKUP(I157,参考表!F:H,3,FALSE)</f>
        <v>03001</v>
      </c>
      <c r="G157" s="190" t="s">
        <v>407</v>
      </c>
      <c r="H157" s="190" t="s">
        <v>407</v>
      </c>
      <c r="I157" s="190" t="s">
        <v>235</v>
      </c>
      <c r="J157" s="143" t="s">
        <v>193</v>
      </c>
      <c r="K157" s="143" t="s">
        <v>155</v>
      </c>
      <c r="L157" s="143" t="s">
        <v>155</v>
      </c>
      <c r="M157" s="143" t="s">
        <v>155</v>
      </c>
      <c r="N157" s="143" t="s">
        <v>155</v>
      </c>
      <c r="O157" s="206"/>
    </row>
    <row r="158" spans="1:15" ht="13.7" customHeight="1" thickBot="1">
      <c r="A158" s="426"/>
      <c r="B158" s="429"/>
      <c r="C158" s="207" t="s">
        <v>414</v>
      </c>
      <c r="D158" s="130" t="s">
        <v>631</v>
      </c>
      <c r="E158" s="256" t="s">
        <v>738</v>
      </c>
      <c r="F158" s="256" t="str">
        <f>VLOOKUP(I158,参考表!F:H,3,FALSE)</f>
        <v>03001</v>
      </c>
      <c r="G158" s="190" t="s">
        <v>407</v>
      </c>
      <c r="H158" s="190" t="s">
        <v>407</v>
      </c>
      <c r="I158" s="190" t="s">
        <v>235</v>
      </c>
      <c r="J158" s="143" t="s">
        <v>193</v>
      </c>
      <c r="K158" s="143" t="s">
        <v>155</v>
      </c>
      <c r="L158" s="143" t="s">
        <v>155</v>
      </c>
      <c r="M158" s="143" t="s">
        <v>155</v>
      </c>
      <c r="N158" s="143" t="s">
        <v>155</v>
      </c>
      <c r="O158" s="206"/>
    </row>
    <row r="159" spans="1:15" ht="13.7" customHeight="1" thickBot="1">
      <c r="A159" s="426"/>
      <c r="B159" s="429"/>
      <c r="C159" s="203" t="s">
        <v>415</v>
      </c>
      <c r="D159" s="130" t="s">
        <v>632</v>
      </c>
      <c r="E159" s="256" t="s">
        <v>738</v>
      </c>
      <c r="F159" s="256" t="str">
        <f>VLOOKUP(I159,参考表!F:H,3,FALSE)</f>
        <v>03001</v>
      </c>
      <c r="G159" s="190" t="s">
        <v>407</v>
      </c>
      <c r="H159" s="190" t="s">
        <v>407</v>
      </c>
      <c r="I159" s="190" t="s">
        <v>235</v>
      </c>
      <c r="J159" s="143" t="s">
        <v>193</v>
      </c>
      <c r="K159" s="143" t="s">
        <v>155</v>
      </c>
      <c r="L159" s="143" t="s">
        <v>155</v>
      </c>
      <c r="M159" s="143" t="s">
        <v>155</v>
      </c>
      <c r="N159" s="143" t="s">
        <v>155</v>
      </c>
      <c r="O159" s="206"/>
    </row>
    <row r="160" spans="1:15" ht="13.7" customHeight="1" thickBot="1">
      <c r="A160" s="426"/>
      <c r="B160" s="429"/>
      <c r="C160" s="205" t="s">
        <v>416</v>
      </c>
      <c r="D160" s="208" t="s">
        <v>633</v>
      </c>
      <c r="E160" s="256" t="s">
        <v>868</v>
      </c>
      <c r="F160" s="256" t="str">
        <f>VLOOKUP(I160,参考表!F:H,3,FALSE)</f>
        <v>08001</v>
      </c>
      <c r="G160" s="190" t="s">
        <v>407</v>
      </c>
      <c r="H160" s="190" t="s">
        <v>407</v>
      </c>
      <c r="I160" s="190" t="s">
        <v>417</v>
      </c>
      <c r="J160" s="143" t="s">
        <v>193</v>
      </c>
      <c r="K160" s="143" t="s">
        <v>160</v>
      </c>
      <c r="L160" s="143" t="s">
        <v>160</v>
      </c>
      <c r="M160" s="143" t="s">
        <v>160</v>
      </c>
      <c r="N160" s="143" t="s">
        <v>155</v>
      </c>
      <c r="O160" s="206"/>
    </row>
    <row r="161" spans="1:15" ht="13.7" customHeight="1" thickBot="1">
      <c r="A161" s="427"/>
      <c r="B161" s="430"/>
      <c r="C161" s="207" t="s">
        <v>418</v>
      </c>
      <c r="D161" s="209" t="s">
        <v>255</v>
      </c>
      <c r="E161" s="222" t="s">
        <v>1765</v>
      </c>
      <c r="F161" s="222" t="s">
        <v>1765</v>
      </c>
      <c r="G161" s="190" t="s">
        <v>1766</v>
      </c>
      <c r="H161" s="190" t="s">
        <v>1766</v>
      </c>
      <c r="I161" s="190" t="s">
        <v>1767</v>
      </c>
      <c r="J161" s="190" t="s">
        <v>1767</v>
      </c>
      <c r="K161" s="210" t="s">
        <v>160</v>
      </c>
      <c r="L161" s="210" t="s">
        <v>160</v>
      </c>
      <c r="M161" s="210" t="s">
        <v>160</v>
      </c>
      <c r="N161" s="210" t="s">
        <v>155</v>
      </c>
      <c r="O161" s="211"/>
    </row>
    <row r="162" spans="1:15" ht="13.7" customHeight="1" thickBot="1">
      <c r="A162" s="425" t="s">
        <v>174</v>
      </c>
      <c r="B162" s="428" t="s">
        <v>419</v>
      </c>
      <c r="C162" s="201" t="s">
        <v>420</v>
      </c>
      <c r="D162" s="135" t="s">
        <v>634</v>
      </c>
      <c r="E162" s="256" t="s">
        <v>868</v>
      </c>
      <c r="F162" s="256" t="str">
        <f>VLOOKUP(I162,参考表!F:H,3,FALSE)</f>
        <v>08001</v>
      </c>
      <c r="G162" s="137" t="s">
        <v>421</v>
      </c>
      <c r="H162" s="137" t="s">
        <v>421</v>
      </c>
      <c r="I162" s="137" t="s">
        <v>239</v>
      </c>
      <c r="J162" s="137" t="s">
        <v>239</v>
      </c>
      <c r="K162" s="186" t="s">
        <v>155</v>
      </c>
      <c r="L162" s="186" t="s">
        <v>155</v>
      </c>
      <c r="M162" s="186" t="s">
        <v>155</v>
      </c>
      <c r="N162" s="186" t="s">
        <v>155</v>
      </c>
      <c r="O162" s="138" t="s">
        <v>210</v>
      </c>
    </row>
    <row r="163" spans="1:15" ht="13.7" customHeight="1" thickBot="1">
      <c r="A163" s="426"/>
      <c r="B163" s="429"/>
      <c r="C163" s="204" t="s">
        <v>422</v>
      </c>
      <c r="D163" s="141" t="s">
        <v>635</v>
      </c>
      <c r="E163" s="256" t="s">
        <v>868</v>
      </c>
      <c r="F163" s="256" t="str">
        <f>VLOOKUP(I163,参考表!F:H,3,FALSE)</f>
        <v>08001</v>
      </c>
      <c r="G163" s="119" t="s">
        <v>421</v>
      </c>
      <c r="H163" s="119" t="s">
        <v>421</v>
      </c>
      <c r="I163" s="119" t="s">
        <v>239</v>
      </c>
      <c r="J163" s="119" t="s">
        <v>239</v>
      </c>
      <c r="K163" s="175" t="s">
        <v>155</v>
      </c>
      <c r="L163" s="175" t="s">
        <v>155</v>
      </c>
      <c r="M163" s="175" t="s">
        <v>155</v>
      </c>
      <c r="N163" s="175" t="s">
        <v>155</v>
      </c>
      <c r="O163" s="139" t="s">
        <v>210</v>
      </c>
    </row>
    <row r="164" spans="1:15" ht="13.7" customHeight="1" thickBot="1">
      <c r="A164" s="426"/>
      <c r="B164" s="429"/>
      <c r="C164" s="203" t="s">
        <v>423</v>
      </c>
      <c r="D164" s="141" t="s">
        <v>636</v>
      </c>
      <c r="E164" s="256" t="s">
        <v>868</v>
      </c>
      <c r="F164" s="256" t="str">
        <f>VLOOKUP(I164,参考表!F:H,3,FALSE)</f>
        <v>08001</v>
      </c>
      <c r="G164" s="119" t="s">
        <v>421</v>
      </c>
      <c r="H164" s="119" t="s">
        <v>421</v>
      </c>
      <c r="I164" s="119" t="s">
        <v>239</v>
      </c>
      <c r="J164" s="119" t="s">
        <v>239</v>
      </c>
      <c r="K164" s="175" t="s">
        <v>155</v>
      </c>
      <c r="L164" s="175" t="s">
        <v>155</v>
      </c>
      <c r="M164" s="175" t="s">
        <v>155</v>
      </c>
      <c r="N164" s="175" t="s">
        <v>155</v>
      </c>
      <c r="O164" s="139" t="s">
        <v>210</v>
      </c>
    </row>
    <row r="165" spans="1:15" ht="13.7" customHeight="1" thickBot="1">
      <c r="A165" s="426"/>
      <c r="B165" s="429"/>
      <c r="C165" s="203" t="s">
        <v>424</v>
      </c>
      <c r="D165" s="141" t="s">
        <v>637</v>
      </c>
      <c r="E165" s="256" t="s">
        <v>868</v>
      </c>
      <c r="F165" s="256" t="str">
        <f>VLOOKUP(I165,参考表!F:H,3,FALSE)</f>
        <v>08001</v>
      </c>
      <c r="G165" s="119" t="s">
        <v>421</v>
      </c>
      <c r="H165" s="119" t="s">
        <v>421</v>
      </c>
      <c r="I165" s="119" t="s">
        <v>239</v>
      </c>
      <c r="J165" s="119" t="s">
        <v>239</v>
      </c>
      <c r="K165" s="175" t="s">
        <v>155</v>
      </c>
      <c r="L165" s="175" t="s">
        <v>155</v>
      </c>
      <c r="M165" s="175" t="s">
        <v>155</v>
      </c>
      <c r="N165" s="175" t="s">
        <v>155</v>
      </c>
      <c r="O165" s="139" t="s">
        <v>210</v>
      </c>
    </row>
    <row r="166" spans="1:15" ht="13.7" customHeight="1" thickBot="1">
      <c r="A166" s="426"/>
      <c r="B166" s="429"/>
      <c r="C166" s="205" t="s">
        <v>425</v>
      </c>
      <c r="D166" s="141" t="s">
        <v>638</v>
      </c>
      <c r="E166" s="256" t="s">
        <v>868</v>
      </c>
      <c r="F166" s="256" t="str">
        <f>VLOOKUP(I166,参考表!F:H,3,FALSE)</f>
        <v>08001</v>
      </c>
      <c r="G166" s="119" t="s">
        <v>421</v>
      </c>
      <c r="H166" s="119" t="s">
        <v>421</v>
      </c>
      <c r="I166" s="119" t="s">
        <v>239</v>
      </c>
      <c r="J166" s="119" t="s">
        <v>239</v>
      </c>
      <c r="K166" s="175" t="s">
        <v>155</v>
      </c>
      <c r="L166" s="175" t="s">
        <v>155</v>
      </c>
      <c r="M166" s="175" t="s">
        <v>155</v>
      </c>
      <c r="N166" s="175" t="s">
        <v>155</v>
      </c>
      <c r="O166" s="139" t="s">
        <v>210</v>
      </c>
    </row>
    <row r="167" spans="1:15" ht="13.7" customHeight="1" thickBot="1">
      <c r="A167" s="426"/>
      <c r="B167" s="429"/>
      <c r="C167" s="207" t="s">
        <v>426</v>
      </c>
      <c r="D167" s="141" t="s">
        <v>639</v>
      </c>
      <c r="E167" s="256" t="s">
        <v>868</v>
      </c>
      <c r="F167" s="256" t="str">
        <f>VLOOKUP(I167,参考表!F:H,3,FALSE)</f>
        <v>08001</v>
      </c>
      <c r="G167" s="119" t="s">
        <v>421</v>
      </c>
      <c r="H167" s="119" t="s">
        <v>421</v>
      </c>
      <c r="I167" s="119" t="s">
        <v>239</v>
      </c>
      <c r="J167" s="119" t="s">
        <v>239</v>
      </c>
      <c r="K167" s="175" t="s">
        <v>155</v>
      </c>
      <c r="L167" s="175" t="s">
        <v>155</v>
      </c>
      <c r="M167" s="175" t="s">
        <v>155</v>
      </c>
      <c r="N167" s="175" t="s">
        <v>155</v>
      </c>
      <c r="O167" s="139" t="s">
        <v>210</v>
      </c>
    </row>
    <row r="168" spans="1:15" ht="13.7" customHeight="1" thickBot="1">
      <c r="A168" s="426"/>
      <c r="B168" s="429"/>
      <c r="C168" s="203" t="s">
        <v>427</v>
      </c>
      <c r="D168" s="141" t="s">
        <v>640</v>
      </c>
      <c r="E168" s="256" t="s">
        <v>868</v>
      </c>
      <c r="F168" s="256" t="str">
        <f>VLOOKUP(I168,参考表!F:H,3,FALSE)</f>
        <v>08001</v>
      </c>
      <c r="G168" s="119" t="s">
        <v>421</v>
      </c>
      <c r="H168" s="119" t="s">
        <v>421</v>
      </c>
      <c r="I168" s="119" t="s">
        <v>239</v>
      </c>
      <c r="J168" s="119" t="s">
        <v>239</v>
      </c>
      <c r="K168" s="175" t="s">
        <v>155</v>
      </c>
      <c r="L168" s="175" t="s">
        <v>155</v>
      </c>
      <c r="M168" s="175" t="s">
        <v>155</v>
      </c>
      <c r="N168" s="175" t="s">
        <v>155</v>
      </c>
      <c r="O168" s="139" t="s">
        <v>210</v>
      </c>
    </row>
    <row r="169" spans="1:15" ht="13.7" customHeight="1" thickBot="1">
      <c r="A169" s="426"/>
      <c r="B169" s="429"/>
      <c r="C169" s="204" t="s">
        <v>428</v>
      </c>
      <c r="D169" s="141" t="s">
        <v>641</v>
      </c>
      <c r="E169" s="256" t="s">
        <v>868</v>
      </c>
      <c r="F169" s="256" t="str">
        <f>VLOOKUP(I169,参考表!F:H,3,FALSE)</f>
        <v>08001</v>
      </c>
      <c r="G169" s="119" t="s">
        <v>421</v>
      </c>
      <c r="H169" s="119" t="s">
        <v>421</v>
      </c>
      <c r="I169" s="119" t="s">
        <v>239</v>
      </c>
      <c r="J169" s="119" t="s">
        <v>239</v>
      </c>
      <c r="K169" s="175" t="s">
        <v>155</v>
      </c>
      <c r="L169" s="175" t="s">
        <v>155</v>
      </c>
      <c r="M169" s="175" t="s">
        <v>155</v>
      </c>
      <c r="N169" s="175" t="s">
        <v>155</v>
      </c>
      <c r="O169" s="139" t="s">
        <v>210</v>
      </c>
    </row>
    <row r="170" spans="1:15" ht="13.7" customHeight="1" thickBot="1">
      <c r="A170" s="426"/>
      <c r="B170" s="429"/>
      <c r="C170" s="203" t="s">
        <v>429</v>
      </c>
      <c r="D170" s="141" t="s">
        <v>642</v>
      </c>
      <c r="E170" s="256" t="s">
        <v>868</v>
      </c>
      <c r="F170" s="256" t="str">
        <f>VLOOKUP(I170,参考表!F:H,3,FALSE)</f>
        <v>08001</v>
      </c>
      <c r="G170" s="119" t="s">
        <v>421</v>
      </c>
      <c r="H170" s="119" t="s">
        <v>421</v>
      </c>
      <c r="I170" s="119" t="s">
        <v>239</v>
      </c>
      <c r="J170" s="119" t="s">
        <v>239</v>
      </c>
      <c r="K170" s="175" t="s">
        <v>155</v>
      </c>
      <c r="L170" s="175" t="s">
        <v>155</v>
      </c>
      <c r="M170" s="175" t="s">
        <v>155</v>
      </c>
      <c r="N170" s="175" t="s">
        <v>155</v>
      </c>
      <c r="O170" s="139" t="s">
        <v>210</v>
      </c>
    </row>
    <row r="171" spans="1:15" ht="13.7" customHeight="1" thickBot="1">
      <c r="A171" s="426"/>
      <c r="B171" s="429"/>
      <c r="C171" s="203" t="s">
        <v>430</v>
      </c>
      <c r="D171" s="141" t="s">
        <v>643</v>
      </c>
      <c r="E171" s="256" t="s">
        <v>868</v>
      </c>
      <c r="F171" s="256" t="str">
        <f>VLOOKUP(I171,参考表!F:H,3,FALSE)</f>
        <v>08001</v>
      </c>
      <c r="G171" s="119" t="s">
        <v>421</v>
      </c>
      <c r="H171" s="119" t="s">
        <v>421</v>
      </c>
      <c r="I171" s="119" t="s">
        <v>239</v>
      </c>
      <c r="J171" s="119" t="s">
        <v>239</v>
      </c>
      <c r="K171" s="175" t="s">
        <v>155</v>
      </c>
      <c r="L171" s="175" t="s">
        <v>155</v>
      </c>
      <c r="M171" s="175" t="s">
        <v>155</v>
      </c>
      <c r="N171" s="175" t="s">
        <v>155</v>
      </c>
      <c r="O171" s="139" t="s">
        <v>210</v>
      </c>
    </row>
    <row r="172" spans="1:15" ht="13.7" customHeight="1" thickBot="1">
      <c r="A172" s="426"/>
      <c r="B172" s="429"/>
      <c r="C172" s="205" t="s">
        <v>431</v>
      </c>
      <c r="D172" s="141" t="s">
        <v>644</v>
      </c>
      <c r="E172" s="256" t="s">
        <v>868</v>
      </c>
      <c r="F172" s="256" t="str">
        <f>VLOOKUP(I172,参考表!F:H,3,FALSE)</f>
        <v>08001</v>
      </c>
      <c r="G172" s="119" t="s">
        <v>421</v>
      </c>
      <c r="H172" s="119" t="s">
        <v>421</v>
      </c>
      <c r="I172" s="119" t="s">
        <v>239</v>
      </c>
      <c r="J172" s="119" t="s">
        <v>239</v>
      </c>
      <c r="K172" s="175" t="s">
        <v>155</v>
      </c>
      <c r="L172" s="175" t="s">
        <v>160</v>
      </c>
      <c r="M172" s="175" t="s">
        <v>155</v>
      </c>
      <c r="N172" s="175" t="s">
        <v>160</v>
      </c>
      <c r="O172" s="139" t="s">
        <v>210</v>
      </c>
    </row>
    <row r="173" spans="1:15" ht="13.7" customHeight="1" thickBot="1">
      <c r="A173" s="426"/>
      <c r="B173" s="429"/>
      <c r="C173" s="207" t="s">
        <v>432</v>
      </c>
      <c r="D173" s="141" t="s">
        <v>645</v>
      </c>
      <c r="E173" s="256" t="s">
        <v>868</v>
      </c>
      <c r="F173" s="256" t="str">
        <f>VLOOKUP(I173,参考表!F:H,3,FALSE)</f>
        <v>08001</v>
      </c>
      <c r="G173" s="119" t="s">
        <v>421</v>
      </c>
      <c r="H173" s="119" t="s">
        <v>421</v>
      </c>
      <c r="I173" s="119" t="s">
        <v>239</v>
      </c>
      <c r="J173" s="119" t="s">
        <v>239</v>
      </c>
      <c r="K173" s="175" t="s">
        <v>155</v>
      </c>
      <c r="L173" s="175" t="s">
        <v>160</v>
      </c>
      <c r="M173" s="175" t="s">
        <v>160</v>
      </c>
      <c r="N173" s="175" t="s">
        <v>160</v>
      </c>
      <c r="O173" s="212" t="s">
        <v>433</v>
      </c>
    </row>
    <row r="174" spans="1:15" ht="13.7" customHeight="1" thickBot="1">
      <c r="A174" s="426"/>
      <c r="B174" s="429"/>
      <c r="C174" s="203" t="s">
        <v>434</v>
      </c>
      <c r="D174" s="141" t="s">
        <v>646</v>
      </c>
      <c r="E174" s="256" t="s">
        <v>868</v>
      </c>
      <c r="F174" s="256" t="str">
        <f>VLOOKUP(I174,参考表!F:H,3,FALSE)</f>
        <v>08001</v>
      </c>
      <c r="G174" s="119" t="s">
        <v>421</v>
      </c>
      <c r="H174" s="119" t="s">
        <v>421</v>
      </c>
      <c r="I174" s="119" t="s">
        <v>239</v>
      </c>
      <c r="J174" s="119" t="s">
        <v>239</v>
      </c>
      <c r="K174" s="175" t="s">
        <v>160</v>
      </c>
      <c r="L174" s="175" t="s">
        <v>160</v>
      </c>
      <c r="M174" s="175" t="s">
        <v>155</v>
      </c>
      <c r="N174" s="175" t="s">
        <v>160</v>
      </c>
      <c r="O174" s="212" t="s">
        <v>435</v>
      </c>
    </row>
    <row r="175" spans="1:15" ht="13.7" customHeight="1" thickBot="1">
      <c r="A175" s="426"/>
      <c r="B175" s="429"/>
      <c r="C175" s="204" t="s">
        <v>436</v>
      </c>
      <c r="D175" s="141" t="s">
        <v>647</v>
      </c>
      <c r="E175" s="256" t="s">
        <v>868</v>
      </c>
      <c r="F175" s="256" t="str">
        <f>VLOOKUP(I175,参考表!F:H,3,FALSE)</f>
        <v>08001</v>
      </c>
      <c r="G175" s="119" t="s">
        <v>421</v>
      </c>
      <c r="H175" s="119" t="s">
        <v>421</v>
      </c>
      <c r="I175" s="119" t="s">
        <v>239</v>
      </c>
      <c r="J175" s="119" t="s">
        <v>239</v>
      </c>
      <c r="K175" s="175" t="s">
        <v>160</v>
      </c>
      <c r="L175" s="175" t="s">
        <v>160</v>
      </c>
      <c r="M175" s="175" t="s">
        <v>155</v>
      </c>
      <c r="N175" s="175" t="s">
        <v>160</v>
      </c>
      <c r="O175" s="212" t="s">
        <v>435</v>
      </c>
    </row>
    <row r="176" spans="1:15" ht="13.7" customHeight="1" thickBot="1">
      <c r="A176" s="426"/>
      <c r="B176" s="429"/>
      <c r="C176" s="203" t="s">
        <v>437</v>
      </c>
      <c r="D176" s="141" t="s">
        <v>648</v>
      </c>
      <c r="E176" s="256" t="s">
        <v>868</v>
      </c>
      <c r="F176" s="256" t="str">
        <f>VLOOKUP(I176,参考表!F:H,3,FALSE)</f>
        <v>08001</v>
      </c>
      <c r="G176" s="119" t="s">
        <v>421</v>
      </c>
      <c r="H176" s="119" t="s">
        <v>421</v>
      </c>
      <c r="I176" s="119" t="s">
        <v>239</v>
      </c>
      <c r="J176" s="119" t="s">
        <v>239</v>
      </c>
      <c r="K176" s="175" t="s">
        <v>160</v>
      </c>
      <c r="L176" s="175" t="s">
        <v>160</v>
      </c>
      <c r="M176" s="175" t="s">
        <v>155</v>
      </c>
      <c r="N176" s="175" t="s">
        <v>160</v>
      </c>
      <c r="O176" s="212" t="s">
        <v>435</v>
      </c>
    </row>
    <row r="177" spans="1:15" ht="13.7" customHeight="1" thickBot="1">
      <c r="A177" s="426"/>
      <c r="B177" s="429"/>
      <c r="C177" s="203" t="s">
        <v>438</v>
      </c>
      <c r="D177" s="141" t="s">
        <v>649</v>
      </c>
      <c r="E177" s="256" t="s">
        <v>868</v>
      </c>
      <c r="F177" s="256" t="str">
        <f>VLOOKUP(I177,参考表!F:H,3,FALSE)</f>
        <v>08001</v>
      </c>
      <c r="G177" s="119" t="s">
        <v>421</v>
      </c>
      <c r="H177" s="119" t="s">
        <v>421</v>
      </c>
      <c r="I177" s="119" t="s">
        <v>239</v>
      </c>
      <c r="J177" s="119" t="s">
        <v>239</v>
      </c>
      <c r="K177" s="175" t="s">
        <v>160</v>
      </c>
      <c r="L177" s="175" t="s">
        <v>160</v>
      </c>
      <c r="M177" s="175" t="s">
        <v>155</v>
      </c>
      <c r="N177" s="175" t="s">
        <v>160</v>
      </c>
      <c r="O177" s="212" t="s">
        <v>435</v>
      </c>
    </row>
    <row r="178" spans="1:15" ht="13.7" customHeight="1" thickBot="1">
      <c r="A178" s="426"/>
      <c r="B178" s="429"/>
      <c r="C178" s="205" t="s">
        <v>439</v>
      </c>
      <c r="D178" s="141" t="s">
        <v>650</v>
      </c>
      <c r="E178" s="256" t="s">
        <v>868</v>
      </c>
      <c r="F178" s="256" t="str">
        <f>VLOOKUP(I178,参考表!F:H,3,FALSE)</f>
        <v>08001</v>
      </c>
      <c r="G178" s="119" t="s">
        <v>421</v>
      </c>
      <c r="H178" s="119" t="s">
        <v>421</v>
      </c>
      <c r="I178" s="119" t="s">
        <v>239</v>
      </c>
      <c r="J178" s="119" t="s">
        <v>239</v>
      </c>
      <c r="K178" s="175" t="s">
        <v>155</v>
      </c>
      <c r="L178" s="175" t="s">
        <v>155</v>
      </c>
      <c r="M178" s="175" t="s">
        <v>155</v>
      </c>
      <c r="N178" s="175" t="s">
        <v>155</v>
      </c>
      <c r="O178" s="139" t="s">
        <v>210</v>
      </c>
    </row>
    <row r="179" spans="1:15" ht="13.7" customHeight="1" thickBot="1">
      <c r="A179" s="426"/>
      <c r="B179" s="429"/>
      <c r="C179" s="207" t="s">
        <v>440</v>
      </c>
      <c r="D179" s="141" t="s">
        <v>651</v>
      </c>
      <c r="E179" s="256" t="s">
        <v>868</v>
      </c>
      <c r="F179" s="256" t="str">
        <f>VLOOKUP(I179,参考表!F:H,3,FALSE)</f>
        <v>08001</v>
      </c>
      <c r="G179" s="119" t="s">
        <v>421</v>
      </c>
      <c r="H179" s="119" t="s">
        <v>421</v>
      </c>
      <c r="I179" s="119" t="s">
        <v>239</v>
      </c>
      <c r="J179" s="119" t="s">
        <v>239</v>
      </c>
      <c r="K179" s="175" t="s">
        <v>155</v>
      </c>
      <c r="L179" s="175" t="s">
        <v>155</v>
      </c>
      <c r="M179" s="175" t="s">
        <v>155</v>
      </c>
      <c r="N179" s="175" t="s">
        <v>155</v>
      </c>
      <c r="O179" s="139" t="s">
        <v>210</v>
      </c>
    </row>
    <row r="180" spans="1:15" ht="13.7" customHeight="1" thickBot="1">
      <c r="A180" s="426"/>
      <c r="B180" s="429"/>
      <c r="C180" s="203" t="s">
        <v>441</v>
      </c>
      <c r="D180" s="141" t="s">
        <v>652</v>
      </c>
      <c r="E180" s="256" t="s">
        <v>868</v>
      </c>
      <c r="F180" s="256" t="str">
        <f>VLOOKUP(I180,参考表!F:H,3,FALSE)</f>
        <v>08001</v>
      </c>
      <c r="G180" s="119" t="s">
        <v>421</v>
      </c>
      <c r="H180" s="119" t="s">
        <v>421</v>
      </c>
      <c r="I180" s="119" t="s">
        <v>239</v>
      </c>
      <c r="J180" s="119" t="s">
        <v>239</v>
      </c>
      <c r="K180" s="175" t="s">
        <v>155</v>
      </c>
      <c r="L180" s="175" t="s">
        <v>155</v>
      </c>
      <c r="M180" s="175" t="s">
        <v>155</v>
      </c>
      <c r="N180" s="175" t="s">
        <v>155</v>
      </c>
      <c r="O180" s="139" t="s">
        <v>210</v>
      </c>
    </row>
    <row r="181" spans="1:15" ht="13.7" customHeight="1" thickBot="1">
      <c r="A181" s="426"/>
      <c r="B181" s="429"/>
      <c r="C181" s="204" t="s">
        <v>442</v>
      </c>
      <c r="D181" s="141" t="s">
        <v>653</v>
      </c>
      <c r="E181" s="256" t="s">
        <v>868</v>
      </c>
      <c r="F181" s="256" t="str">
        <f>VLOOKUP(I181,参考表!F:H,3,FALSE)</f>
        <v>08001</v>
      </c>
      <c r="G181" s="119" t="s">
        <v>421</v>
      </c>
      <c r="H181" s="119" t="s">
        <v>421</v>
      </c>
      <c r="I181" s="119" t="s">
        <v>239</v>
      </c>
      <c r="J181" s="119" t="s">
        <v>239</v>
      </c>
      <c r="K181" s="175" t="s">
        <v>155</v>
      </c>
      <c r="L181" s="175" t="s">
        <v>155</v>
      </c>
      <c r="M181" s="175" t="s">
        <v>155</v>
      </c>
      <c r="N181" s="175" t="s">
        <v>155</v>
      </c>
      <c r="O181" s="139" t="s">
        <v>210</v>
      </c>
    </row>
    <row r="182" spans="1:15" ht="13.7" customHeight="1" thickBot="1">
      <c r="A182" s="426"/>
      <c r="B182" s="429"/>
      <c r="C182" s="203" t="s">
        <v>443</v>
      </c>
      <c r="D182" s="141" t="s">
        <v>654</v>
      </c>
      <c r="E182" s="256" t="s">
        <v>868</v>
      </c>
      <c r="F182" s="256" t="str">
        <f>VLOOKUP(I182,参考表!F:H,3,FALSE)</f>
        <v>08001</v>
      </c>
      <c r="G182" s="119" t="s">
        <v>421</v>
      </c>
      <c r="H182" s="119" t="s">
        <v>421</v>
      </c>
      <c r="I182" s="119" t="s">
        <v>239</v>
      </c>
      <c r="J182" s="119" t="s">
        <v>239</v>
      </c>
      <c r="K182" s="175" t="s">
        <v>155</v>
      </c>
      <c r="L182" s="175" t="s">
        <v>155</v>
      </c>
      <c r="M182" s="175" t="s">
        <v>155</v>
      </c>
      <c r="N182" s="175" t="s">
        <v>155</v>
      </c>
      <c r="O182" s="139" t="s">
        <v>210</v>
      </c>
    </row>
    <row r="183" spans="1:15" ht="13.7" customHeight="1" thickBot="1">
      <c r="A183" s="426"/>
      <c r="B183" s="429"/>
      <c r="C183" s="203" t="s">
        <v>444</v>
      </c>
      <c r="D183" s="141" t="s">
        <v>655</v>
      </c>
      <c r="E183" s="256" t="s">
        <v>868</v>
      </c>
      <c r="F183" s="256" t="str">
        <f>VLOOKUP(I183,参考表!F:H,3,FALSE)</f>
        <v>08001</v>
      </c>
      <c r="G183" s="119" t="s">
        <v>421</v>
      </c>
      <c r="H183" s="119" t="s">
        <v>421</v>
      </c>
      <c r="I183" s="119" t="s">
        <v>239</v>
      </c>
      <c r="J183" s="119" t="s">
        <v>239</v>
      </c>
      <c r="K183" s="175" t="s">
        <v>155</v>
      </c>
      <c r="L183" s="175" t="s">
        <v>155</v>
      </c>
      <c r="M183" s="175" t="s">
        <v>155</v>
      </c>
      <c r="N183" s="175" t="s">
        <v>155</v>
      </c>
      <c r="O183" s="139" t="s">
        <v>210</v>
      </c>
    </row>
    <row r="184" spans="1:15" ht="13.7" customHeight="1" thickBot="1">
      <c r="A184" s="426"/>
      <c r="B184" s="429"/>
      <c r="C184" s="205" t="s">
        <v>445</v>
      </c>
      <c r="D184" s="141" t="s">
        <v>656</v>
      </c>
      <c r="E184" s="256" t="s">
        <v>868</v>
      </c>
      <c r="F184" s="256" t="str">
        <f>VLOOKUP(I184,参考表!F:H,3,FALSE)</f>
        <v>08001</v>
      </c>
      <c r="G184" s="119" t="s">
        <v>421</v>
      </c>
      <c r="H184" s="119" t="s">
        <v>421</v>
      </c>
      <c r="I184" s="119" t="s">
        <v>239</v>
      </c>
      <c r="J184" s="119" t="s">
        <v>239</v>
      </c>
      <c r="K184" s="175" t="s">
        <v>155</v>
      </c>
      <c r="L184" s="175" t="s">
        <v>155</v>
      </c>
      <c r="M184" s="175" t="s">
        <v>155</v>
      </c>
      <c r="N184" s="175" t="s">
        <v>155</v>
      </c>
      <c r="O184" s="139" t="s">
        <v>446</v>
      </c>
    </row>
    <row r="185" spans="1:15" ht="13.7" customHeight="1" thickBot="1">
      <c r="A185" s="426"/>
      <c r="B185" s="429"/>
      <c r="C185" s="207" t="s">
        <v>447</v>
      </c>
      <c r="D185" s="141" t="s">
        <v>657</v>
      </c>
      <c r="E185" s="256" t="s">
        <v>868</v>
      </c>
      <c r="F185" s="256" t="str">
        <f>VLOOKUP(I185,参考表!F:H,3,FALSE)</f>
        <v>08001</v>
      </c>
      <c r="G185" s="119" t="s">
        <v>421</v>
      </c>
      <c r="H185" s="119" t="s">
        <v>421</v>
      </c>
      <c r="I185" s="119" t="s">
        <v>239</v>
      </c>
      <c r="J185" s="119" t="s">
        <v>239</v>
      </c>
      <c r="K185" s="175" t="s">
        <v>155</v>
      </c>
      <c r="L185" s="175" t="s">
        <v>155</v>
      </c>
      <c r="M185" s="175" t="s">
        <v>155</v>
      </c>
      <c r="N185" s="175" t="s">
        <v>155</v>
      </c>
      <c r="O185" s="139" t="s">
        <v>446</v>
      </c>
    </row>
    <row r="186" spans="1:15" ht="13.7" customHeight="1" thickBot="1">
      <c r="A186" s="426"/>
      <c r="B186" s="429"/>
      <c r="C186" s="203" t="s">
        <v>448</v>
      </c>
      <c r="D186" s="141" t="s">
        <v>658</v>
      </c>
      <c r="E186" s="256" t="s">
        <v>868</v>
      </c>
      <c r="F186" s="256" t="str">
        <f>VLOOKUP(I186,参考表!F:H,3,FALSE)</f>
        <v>08001</v>
      </c>
      <c r="G186" s="119" t="s">
        <v>421</v>
      </c>
      <c r="H186" s="119" t="s">
        <v>421</v>
      </c>
      <c r="I186" s="119" t="s">
        <v>239</v>
      </c>
      <c r="J186" s="119" t="s">
        <v>239</v>
      </c>
      <c r="K186" s="143" t="s">
        <v>155</v>
      </c>
      <c r="L186" s="143" t="s">
        <v>155</v>
      </c>
      <c r="M186" s="143" t="s">
        <v>155</v>
      </c>
      <c r="N186" s="143" t="s">
        <v>155</v>
      </c>
      <c r="O186" s="139" t="s">
        <v>210</v>
      </c>
    </row>
    <row r="187" spans="1:15" ht="13.7" customHeight="1" thickBot="1">
      <c r="A187" s="426"/>
      <c r="B187" s="429"/>
      <c r="C187" s="204" t="s">
        <v>449</v>
      </c>
      <c r="D187" s="141" t="s">
        <v>659</v>
      </c>
      <c r="E187" s="256" t="s">
        <v>868</v>
      </c>
      <c r="F187" s="256" t="str">
        <f>VLOOKUP(I187,参考表!F:H,3,FALSE)</f>
        <v>08001</v>
      </c>
      <c r="G187" s="119" t="s">
        <v>421</v>
      </c>
      <c r="H187" s="119" t="s">
        <v>421</v>
      </c>
      <c r="I187" s="119" t="s">
        <v>239</v>
      </c>
      <c r="J187" s="119" t="s">
        <v>239</v>
      </c>
      <c r="K187" s="175" t="s">
        <v>155</v>
      </c>
      <c r="L187" s="175" t="s">
        <v>155</v>
      </c>
      <c r="M187" s="175" t="s">
        <v>155</v>
      </c>
      <c r="N187" s="175" t="s">
        <v>155</v>
      </c>
      <c r="O187" s="139" t="s">
        <v>210</v>
      </c>
    </row>
    <row r="188" spans="1:15" ht="13.7" customHeight="1" thickBot="1">
      <c r="A188" s="426"/>
      <c r="B188" s="429"/>
      <c r="C188" s="203" t="s">
        <v>450</v>
      </c>
      <c r="D188" s="141" t="s">
        <v>660</v>
      </c>
      <c r="E188" s="256" t="s">
        <v>868</v>
      </c>
      <c r="F188" s="256" t="str">
        <f>VLOOKUP(I188,参考表!F:H,3,FALSE)</f>
        <v>08001</v>
      </c>
      <c r="G188" s="119" t="s">
        <v>421</v>
      </c>
      <c r="H188" s="119" t="s">
        <v>421</v>
      </c>
      <c r="I188" s="119" t="s">
        <v>239</v>
      </c>
      <c r="J188" s="119" t="s">
        <v>239</v>
      </c>
      <c r="K188" s="175" t="s">
        <v>155</v>
      </c>
      <c r="L188" s="175" t="s">
        <v>155</v>
      </c>
      <c r="M188" s="175" t="s">
        <v>155</v>
      </c>
      <c r="N188" s="175" t="s">
        <v>155</v>
      </c>
      <c r="O188" s="139" t="s">
        <v>210</v>
      </c>
    </row>
    <row r="189" spans="1:15" ht="13.7" customHeight="1" thickBot="1">
      <c r="A189" s="426"/>
      <c r="B189" s="429"/>
      <c r="C189" s="203" t="s">
        <v>451</v>
      </c>
      <c r="D189" s="141" t="s">
        <v>661</v>
      </c>
      <c r="E189" s="256" t="s">
        <v>868</v>
      </c>
      <c r="F189" s="256" t="str">
        <f>VLOOKUP(I189,参考表!F:H,3,FALSE)</f>
        <v>08001</v>
      </c>
      <c r="G189" s="119" t="s">
        <v>421</v>
      </c>
      <c r="H189" s="119" t="s">
        <v>421</v>
      </c>
      <c r="I189" s="119" t="s">
        <v>239</v>
      </c>
      <c r="J189" s="119" t="s">
        <v>239</v>
      </c>
      <c r="K189" s="175" t="s">
        <v>155</v>
      </c>
      <c r="L189" s="175" t="s">
        <v>155</v>
      </c>
      <c r="M189" s="175" t="s">
        <v>155</v>
      </c>
      <c r="N189" s="175" t="s">
        <v>155</v>
      </c>
      <c r="O189" s="139" t="s">
        <v>210</v>
      </c>
    </row>
    <row r="190" spans="1:15" ht="13.7" customHeight="1" thickBot="1">
      <c r="A190" s="426"/>
      <c r="B190" s="429"/>
      <c r="C190" s="205" t="s">
        <v>452</v>
      </c>
      <c r="D190" s="141" t="s">
        <v>662</v>
      </c>
      <c r="E190" s="256" t="s">
        <v>868</v>
      </c>
      <c r="F190" s="256" t="str">
        <f>VLOOKUP(I190,参考表!F:H,3,FALSE)</f>
        <v>08001</v>
      </c>
      <c r="G190" s="119" t="s">
        <v>421</v>
      </c>
      <c r="H190" s="119" t="s">
        <v>421</v>
      </c>
      <c r="I190" s="119" t="s">
        <v>239</v>
      </c>
      <c r="J190" s="119" t="s">
        <v>239</v>
      </c>
      <c r="K190" s="175" t="s">
        <v>155</v>
      </c>
      <c r="L190" s="175" t="s">
        <v>155</v>
      </c>
      <c r="M190" s="175" t="s">
        <v>155</v>
      </c>
      <c r="N190" s="175" t="s">
        <v>155</v>
      </c>
      <c r="O190" s="139" t="s">
        <v>210</v>
      </c>
    </row>
    <row r="191" spans="1:15" ht="13.7" customHeight="1" thickBot="1">
      <c r="A191" s="426"/>
      <c r="B191" s="429"/>
      <c r="C191" s="207" t="s">
        <v>453</v>
      </c>
      <c r="D191" s="141" t="s">
        <v>663</v>
      </c>
      <c r="E191" s="256" t="s">
        <v>868</v>
      </c>
      <c r="F191" s="256" t="str">
        <f>VLOOKUP(I191,参考表!F:H,3,FALSE)</f>
        <v>08001</v>
      </c>
      <c r="G191" s="119" t="s">
        <v>421</v>
      </c>
      <c r="H191" s="119" t="s">
        <v>421</v>
      </c>
      <c r="I191" s="119" t="s">
        <v>239</v>
      </c>
      <c r="J191" s="119" t="s">
        <v>239</v>
      </c>
      <c r="K191" s="175" t="s">
        <v>155</v>
      </c>
      <c r="L191" s="175" t="s">
        <v>155</v>
      </c>
      <c r="M191" s="175" t="s">
        <v>155</v>
      </c>
      <c r="N191" s="175" t="s">
        <v>155</v>
      </c>
      <c r="O191" s="139" t="s">
        <v>210</v>
      </c>
    </row>
    <row r="192" spans="1:15" ht="13.7" customHeight="1" thickBot="1">
      <c r="A192" s="426"/>
      <c r="B192" s="429"/>
      <c r="C192" s="203" t="s">
        <v>454</v>
      </c>
      <c r="D192" s="141" t="s">
        <v>664</v>
      </c>
      <c r="E192" s="256" t="s">
        <v>868</v>
      </c>
      <c r="F192" s="256" t="str">
        <f>VLOOKUP(I192,参考表!F:H,3,FALSE)</f>
        <v>08001</v>
      </c>
      <c r="G192" s="119" t="s">
        <v>421</v>
      </c>
      <c r="H192" s="119" t="s">
        <v>421</v>
      </c>
      <c r="I192" s="119" t="s">
        <v>239</v>
      </c>
      <c r="J192" s="119" t="s">
        <v>239</v>
      </c>
      <c r="K192" s="175" t="s">
        <v>155</v>
      </c>
      <c r="L192" s="175" t="s">
        <v>155</v>
      </c>
      <c r="M192" s="175" t="s">
        <v>155</v>
      </c>
      <c r="N192" s="175" t="s">
        <v>155</v>
      </c>
      <c r="O192" s="139" t="s">
        <v>446</v>
      </c>
    </row>
    <row r="193" spans="1:15" ht="13.7" customHeight="1" thickBot="1">
      <c r="A193" s="426"/>
      <c r="B193" s="429"/>
      <c r="C193" s="204" t="s">
        <v>455</v>
      </c>
      <c r="D193" s="141" t="s">
        <v>665</v>
      </c>
      <c r="E193" s="256" t="s">
        <v>868</v>
      </c>
      <c r="F193" s="256" t="str">
        <f>VLOOKUP(I193,参考表!F:H,3,FALSE)</f>
        <v>08001</v>
      </c>
      <c r="G193" s="119" t="s">
        <v>421</v>
      </c>
      <c r="H193" s="119" t="s">
        <v>421</v>
      </c>
      <c r="I193" s="119" t="s">
        <v>239</v>
      </c>
      <c r="J193" s="119" t="s">
        <v>239</v>
      </c>
      <c r="K193" s="175" t="s">
        <v>155</v>
      </c>
      <c r="L193" s="175" t="s">
        <v>155</v>
      </c>
      <c r="M193" s="175" t="s">
        <v>155</v>
      </c>
      <c r="N193" s="175" t="s">
        <v>155</v>
      </c>
      <c r="O193" s="139" t="s">
        <v>446</v>
      </c>
    </row>
    <row r="194" spans="1:15" ht="13.7" customHeight="1" thickBot="1">
      <c r="A194" s="426"/>
      <c r="B194" s="429"/>
      <c r="C194" s="203" t="s">
        <v>456</v>
      </c>
      <c r="D194" s="141" t="s">
        <v>666</v>
      </c>
      <c r="E194" s="256" t="s">
        <v>868</v>
      </c>
      <c r="F194" s="256" t="str">
        <f>VLOOKUP(I194,参考表!F:H,3,FALSE)</f>
        <v>08001</v>
      </c>
      <c r="G194" s="119" t="s">
        <v>421</v>
      </c>
      <c r="H194" s="119" t="s">
        <v>421</v>
      </c>
      <c r="I194" s="119" t="s">
        <v>239</v>
      </c>
      <c r="J194" s="119" t="s">
        <v>239</v>
      </c>
      <c r="K194" s="175" t="s">
        <v>155</v>
      </c>
      <c r="L194" s="175" t="s">
        <v>155</v>
      </c>
      <c r="M194" s="175" t="s">
        <v>155</v>
      </c>
      <c r="N194" s="175" t="s">
        <v>155</v>
      </c>
      <c r="O194" s="139" t="s">
        <v>446</v>
      </c>
    </row>
    <row r="195" spans="1:15" ht="13.7" customHeight="1" thickBot="1">
      <c r="A195" s="426"/>
      <c r="B195" s="429"/>
      <c r="C195" s="203" t="s">
        <v>457</v>
      </c>
      <c r="D195" s="141" t="s">
        <v>667</v>
      </c>
      <c r="E195" s="256" t="s">
        <v>868</v>
      </c>
      <c r="F195" s="256" t="str">
        <f>VLOOKUP(I195,参考表!F:H,3,FALSE)</f>
        <v>08001</v>
      </c>
      <c r="G195" s="119" t="s">
        <v>421</v>
      </c>
      <c r="H195" s="119" t="s">
        <v>421</v>
      </c>
      <c r="I195" s="119" t="s">
        <v>239</v>
      </c>
      <c r="J195" s="119" t="s">
        <v>239</v>
      </c>
      <c r="K195" s="175" t="s">
        <v>155</v>
      </c>
      <c r="L195" s="175" t="s">
        <v>155</v>
      </c>
      <c r="M195" s="175" t="s">
        <v>155</v>
      </c>
      <c r="N195" s="175" t="s">
        <v>155</v>
      </c>
      <c r="O195" s="139" t="s">
        <v>433</v>
      </c>
    </row>
    <row r="196" spans="1:15" ht="13.7" customHeight="1" thickBot="1">
      <c r="A196" s="426"/>
      <c r="B196" s="429"/>
      <c r="C196" s="205" t="s">
        <v>458</v>
      </c>
      <c r="D196" s="141" t="s">
        <v>668</v>
      </c>
      <c r="E196" s="256" t="s">
        <v>868</v>
      </c>
      <c r="F196" s="256" t="str">
        <f>VLOOKUP(I196,参考表!F:H,3,FALSE)</f>
        <v>08001</v>
      </c>
      <c r="G196" s="119" t="s">
        <v>421</v>
      </c>
      <c r="H196" s="119" t="s">
        <v>421</v>
      </c>
      <c r="I196" s="119" t="s">
        <v>239</v>
      </c>
      <c r="J196" s="119" t="s">
        <v>239</v>
      </c>
      <c r="K196" s="175" t="s">
        <v>155</v>
      </c>
      <c r="L196" s="175" t="s">
        <v>155</v>
      </c>
      <c r="M196" s="175" t="s">
        <v>155</v>
      </c>
      <c r="N196" s="175" t="s">
        <v>155</v>
      </c>
      <c r="O196" s="139" t="s">
        <v>446</v>
      </c>
    </row>
    <row r="197" spans="1:15" ht="13.7" customHeight="1" thickBot="1">
      <c r="A197" s="426"/>
      <c r="B197" s="429"/>
      <c r="C197" s="207" t="s">
        <v>459</v>
      </c>
      <c r="D197" s="141" t="s">
        <v>669</v>
      </c>
      <c r="E197" s="256" t="s">
        <v>868</v>
      </c>
      <c r="F197" s="256" t="str">
        <f>VLOOKUP(I197,参考表!F:H,3,FALSE)</f>
        <v>08001</v>
      </c>
      <c r="G197" s="119" t="s">
        <v>421</v>
      </c>
      <c r="H197" s="119" t="s">
        <v>421</v>
      </c>
      <c r="I197" s="119" t="s">
        <v>239</v>
      </c>
      <c r="J197" s="119" t="s">
        <v>239</v>
      </c>
      <c r="K197" s="175" t="s">
        <v>155</v>
      </c>
      <c r="L197" s="175" t="s">
        <v>155</v>
      </c>
      <c r="M197" s="175" t="s">
        <v>155</v>
      </c>
      <c r="N197" s="175" t="s">
        <v>155</v>
      </c>
      <c r="O197" s="139" t="s">
        <v>446</v>
      </c>
    </row>
    <row r="198" spans="1:15" ht="13.7" customHeight="1" thickBot="1">
      <c r="A198" s="426"/>
      <c r="B198" s="429"/>
      <c r="C198" s="203" t="s">
        <v>460</v>
      </c>
      <c r="D198" s="141" t="s">
        <v>670</v>
      </c>
      <c r="E198" s="256" t="s">
        <v>868</v>
      </c>
      <c r="F198" s="256" t="str">
        <f>VLOOKUP(I198,参考表!F:H,3,FALSE)</f>
        <v>08001</v>
      </c>
      <c r="G198" s="119" t="s">
        <v>421</v>
      </c>
      <c r="H198" s="119" t="s">
        <v>421</v>
      </c>
      <c r="I198" s="119" t="s">
        <v>239</v>
      </c>
      <c r="J198" s="119" t="s">
        <v>239</v>
      </c>
      <c r="K198" s="175" t="s">
        <v>155</v>
      </c>
      <c r="L198" s="175" t="s">
        <v>155</v>
      </c>
      <c r="M198" s="175" t="s">
        <v>155</v>
      </c>
      <c r="N198" s="175" t="s">
        <v>155</v>
      </c>
      <c r="O198" s="139" t="s">
        <v>446</v>
      </c>
    </row>
    <row r="199" spans="1:15" ht="13.7" customHeight="1" thickBot="1">
      <c r="A199" s="426"/>
      <c r="B199" s="429"/>
      <c r="C199" s="204" t="s">
        <v>461</v>
      </c>
      <c r="D199" s="141" t="s">
        <v>671</v>
      </c>
      <c r="E199" s="256" t="s">
        <v>868</v>
      </c>
      <c r="F199" s="256" t="str">
        <f>VLOOKUP(I199,参考表!F:H,3,FALSE)</f>
        <v>08001</v>
      </c>
      <c r="G199" s="119" t="s">
        <v>421</v>
      </c>
      <c r="H199" s="119" t="s">
        <v>421</v>
      </c>
      <c r="I199" s="119" t="s">
        <v>239</v>
      </c>
      <c r="J199" s="119" t="s">
        <v>239</v>
      </c>
      <c r="K199" s="175" t="s">
        <v>155</v>
      </c>
      <c r="L199" s="175" t="s">
        <v>155</v>
      </c>
      <c r="M199" s="175" t="s">
        <v>155</v>
      </c>
      <c r="N199" s="175" t="s">
        <v>155</v>
      </c>
      <c r="O199" s="139" t="s">
        <v>446</v>
      </c>
    </row>
    <row r="200" spans="1:15" ht="13.7" customHeight="1" thickBot="1">
      <c r="A200" s="426"/>
      <c r="B200" s="429"/>
      <c r="C200" s="203" t="s">
        <v>462</v>
      </c>
      <c r="D200" s="141" t="s">
        <v>672</v>
      </c>
      <c r="E200" s="256" t="s">
        <v>868</v>
      </c>
      <c r="F200" s="256" t="str">
        <f>VLOOKUP(I200,参考表!F:H,3,FALSE)</f>
        <v>08001</v>
      </c>
      <c r="G200" s="119" t="s">
        <v>421</v>
      </c>
      <c r="H200" s="119" t="s">
        <v>421</v>
      </c>
      <c r="I200" s="119" t="s">
        <v>239</v>
      </c>
      <c r="J200" s="119" t="s">
        <v>239</v>
      </c>
      <c r="K200" s="175" t="s">
        <v>155</v>
      </c>
      <c r="L200" s="175" t="s">
        <v>155</v>
      </c>
      <c r="M200" s="175" t="s">
        <v>155</v>
      </c>
      <c r="N200" s="175" t="s">
        <v>155</v>
      </c>
      <c r="O200" s="139" t="s">
        <v>446</v>
      </c>
    </row>
    <row r="201" spans="1:15" ht="13.7" customHeight="1" thickBot="1">
      <c r="A201" s="426"/>
      <c r="B201" s="429"/>
      <c r="C201" s="203" t="s">
        <v>463</v>
      </c>
      <c r="D201" s="141" t="s">
        <v>673</v>
      </c>
      <c r="E201" s="256" t="s">
        <v>868</v>
      </c>
      <c r="F201" s="256" t="str">
        <f>VLOOKUP(I201,参考表!F:H,3,FALSE)</f>
        <v>08001</v>
      </c>
      <c r="G201" s="119" t="s">
        <v>421</v>
      </c>
      <c r="H201" s="119" t="s">
        <v>421</v>
      </c>
      <c r="I201" s="119" t="s">
        <v>239</v>
      </c>
      <c r="J201" s="119" t="s">
        <v>239</v>
      </c>
      <c r="K201" s="175" t="s">
        <v>155</v>
      </c>
      <c r="L201" s="175" t="s">
        <v>155</v>
      </c>
      <c r="M201" s="175" t="s">
        <v>155</v>
      </c>
      <c r="N201" s="175" t="s">
        <v>155</v>
      </c>
      <c r="O201" s="139" t="s">
        <v>446</v>
      </c>
    </row>
    <row r="202" spans="1:15" ht="13.7" customHeight="1" thickBot="1">
      <c r="A202" s="426"/>
      <c r="B202" s="429"/>
      <c r="C202" s="205" t="s">
        <v>464</v>
      </c>
      <c r="D202" s="141" t="s">
        <v>674</v>
      </c>
      <c r="E202" s="256" t="s">
        <v>868</v>
      </c>
      <c r="F202" s="256" t="str">
        <f>VLOOKUP(I202,参考表!F:H,3,FALSE)</f>
        <v>08001</v>
      </c>
      <c r="G202" s="119" t="s">
        <v>421</v>
      </c>
      <c r="H202" s="119" t="s">
        <v>421</v>
      </c>
      <c r="I202" s="119" t="s">
        <v>239</v>
      </c>
      <c r="J202" s="119" t="s">
        <v>239</v>
      </c>
      <c r="K202" s="175" t="s">
        <v>155</v>
      </c>
      <c r="L202" s="175" t="s">
        <v>155</v>
      </c>
      <c r="M202" s="175" t="s">
        <v>155</v>
      </c>
      <c r="N202" s="175" t="s">
        <v>155</v>
      </c>
      <c r="O202" s="139" t="s">
        <v>446</v>
      </c>
    </row>
    <row r="203" spans="1:15" ht="13.7" customHeight="1" thickBot="1">
      <c r="A203" s="426"/>
      <c r="B203" s="429"/>
      <c r="C203" s="207" t="s">
        <v>465</v>
      </c>
      <c r="D203" s="141" t="s">
        <v>675</v>
      </c>
      <c r="E203" s="256" t="s">
        <v>868</v>
      </c>
      <c r="F203" s="256" t="str">
        <f>VLOOKUP(I203,参考表!F:H,3,FALSE)</f>
        <v>08001</v>
      </c>
      <c r="G203" s="119" t="s">
        <v>421</v>
      </c>
      <c r="H203" s="119" t="s">
        <v>421</v>
      </c>
      <c r="I203" s="119" t="s">
        <v>239</v>
      </c>
      <c r="J203" s="119" t="s">
        <v>239</v>
      </c>
      <c r="K203" s="175" t="s">
        <v>155</v>
      </c>
      <c r="L203" s="175" t="s">
        <v>155</v>
      </c>
      <c r="M203" s="175" t="s">
        <v>155</v>
      </c>
      <c r="N203" s="175" t="s">
        <v>155</v>
      </c>
      <c r="O203" s="139" t="s">
        <v>446</v>
      </c>
    </row>
    <row r="204" spans="1:15" ht="13.7" customHeight="1" thickBot="1">
      <c r="A204" s="426"/>
      <c r="B204" s="429"/>
      <c r="C204" s="203" t="s">
        <v>466</v>
      </c>
      <c r="D204" s="141" t="s">
        <v>676</v>
      </c>
      <c r="E204" s="256" t="s">
        <v>868</v>
      </c>
      <c r="F204" s="256" t="str">
        <f>VLOOKUP(I204,参考表!F:H,3,FALSE)</f>
        <v>08001</v>
      </c>
      <c r="G204" s="119" t="s">
        <v>421</v>
      </c>
      <c r="H204" s="119" t="s">
        <v>421</v>
      </c>
      <c r="I204" s="119" t="s">
        <v>239</v>
      </c>
      <c r="J204" s="119" t="s">
        <v>239</v>
      </c>
      <c r="K204" s="175" t="s">
        <v>155</v>
      </c>
      <c r="L204" s="175" t="s">
        <v>155</v>
      </c>
      <c r="M204" s="175" t="s">
        <v>155</v>
      </c>
      <c r="N204" s="175" t="s">
        <v>155</v>
      </c>
      <c r="O204" s="139" t="s">
        <v>446</v>
      </c>
    </row>
    <row r="205" spans="1:15" ht="13.7" customHeight="1" thickBot="1">
      <c r="A205" s="426"/>
      <c r="B205" s="429"/>
      <c r="C205" s="204" t="s">
        <v>467</v>
      </c>
      <c r="D205" s="141" t="s">
        <v>677</v>
      </c>
      <c r="E205" s="256" t="s">
        <v>868</v>
      </c>
      <c r="F205" s="256" t="str">
        <f>VLOOKUP(I205,参考表!F:H,3,FALSE)</f>
        <v>08001</v>
      </c>
      <c r="G205" s="119" t="s">
        <v>421</v>
      </c>
      <c r="H205" s="119" t="s">
        <v>421</v>
      </c>
      <c r="I205" s="119" t="s">
        <v>239</v>
      </c>
      <c r="J205" s="119" t="s">
        <v>239</v>
      </c>
      <c r="K205" s="175" t="s">
        <v>155</v>
      </c>
      <c r="L205" s="175" t="s">
        <v>155</v>
      </c>
      <c r="M205" s="175" t="s">
        <v>155</v>
      </c>
      <c r="N205" s="175" t="s">
        <v>155</v>
      </c>
      <c r="O205" s="139" t="s">
        <v>446</v>
      </c>
    </row>
    <row r="206" spans="1:15" ht="13.7" customHeight="1" thickBot="1">
      <c r="A206" s="426"/>
      <c r="B206" s="429"/>
      <c r="C206" s="203" t="s">
        <v>468</v>
      </c>
      <c r="D206" s="141" t="s">
        <v>678</v>
      </c>
      <c r="E206" s="256" t="s">
        <v>868</v>
      </c>
      <c r="F206" s="256" t="str">
        <f>VLOOKUP(I206,参考表!F:H,3,FALSE)</f>
        <v>08001</v>
      </c>
      <c r="G206" s="119" t="s">
        <v>421</v>
      </c>
      <c r="H206" s="119" t="s">
        <v>421</v>
      </c>
      <c r="I206" s="119" t="s">
        <v>239</v>
      </c>
      <c r="J206" s="119" t="s">
        <v>239</v>
      </c>
      <c r="K206" s="175" t="s">
        <v>155</v>
      </c>
      <c r="L206" s="175" t="s">
        <v>155</v>
      </c>
      <c r="M206" s="175" t="s">
        <v>155</v>
      </c>
      <c r="N206" s="175" t="s">
        <v>155</v>
      </c>
      <c r="O206" s="139" t="s">
        <v>446</v>
      </c>
    </row>
    <row r="207" spans="1:15" ht="13.7" customHeight="1" thickBot="1">
      <c r="A207" s="426"/>
      <c r="B207" s="429"/>
      <c r="C207" s="203" t="s">
        <v>469</v>
      </c>
      <c r="D207" s="141" t="s">
        <v>679</v>
      </c>
      <c r="E207" s="256" t="s">
        <v>868</v>
      </c>
      <c r="F207" s="256" t="str">
        <f>VLOOKUP(I207,参考表!F:H,3,FALSE)</f>
        <v>08001</v>
      </c>
      <c r="G207" s="119" t="s">
        <v>421</v>
      </c>
      <c r="H207" s="119" t="s">
        <v>421</v>
      </c>
      <c r="I207" s="119" t="s">
        <v>239</v>
      </c>
      <c r="J207" s="119" t="s">
        <v>239</v>
      </c>
      <c r="K207" s="175" t="s">
        <v>155</v>
      </c>
      <c r="L207" s="175" t="s">
        <v>155</v>
      </c>
      <c r="M207" s="175" t="s">
        <v>155</v>
      </c>
      <c r="N207" s="175" t="s">
        <v>155</v>
      </c>
      <c r="O207" s="139" t="s">
        <v>446</v>
      </c>
    </row>
    <row r="208" spans="1:15" ht="13.7" customHeight="1" thickBot="1">
      <c r="A208" s="426"/>
      <c r="B208" s="429"/>
      <c r="C208" s="205" t="s">
        <v>470</v>
      </c>
      <c r="D208" s="141" t="s">
        <v>680</v>
      </c>
      <c r="E208" s="256" t="s">
        <v>868</v>
      </c>
      <c r="F208" s="256" t="str">
        <f>VLOOKUP(I208,参考表!F:H,3,FALSE)</f>
        <v>08001</v>
      </c>
      <c r="G208" s="119" t="s">
        <v>421</v>
      </c>
      <c r="H208" s="119" t="s">
        <v>421</v>
      </c>
      <c r="I208" s="119" t="s">
        <v>239</v>
      </c>
      <c r="J208" s="119" t="s">
        <v>239</v>
      </c>
      <c r="K208" s="175" t="s">
        <v>155</v>
      </c>
      <c r="L208" s="175" t="s">
        <v>155</v>
      </c>
      <c r="M208" s="175" t="s">
        <v>155</v>
      </c>
      <c r="N208" s="175" t="s">
        <v>155</v>
      </c>
      <c r="O208" s="139" t="s">
        <v>446</v>
      </c>
    </row>
    <row r="209" spans="1:15" ht="13.7" customHeight="1" thickBot="1">
      <c r="A209" s="426"/>
      <c r="B209" s="429"/>
      <c r="C209" s="207" t="s">
        <v>471</v>
      </c>
      <c r="D209" s="141" t="s">
        <v>681</v>
      </c>
      <c r="E209" s="256" t="s">
        <v>868</v>
      </c>
      <c r="F209" s="256" t="str">
        <f>VLOOKUP(I209,参考表!F:H,3,FALSE)</f>
        <v>08001</v>
      </c>
      <c r="G209" s="119" t="s">
        <v>421</v>
      </c>
      <c r="H209" s="119" t="s">
        <v>421</v>
      </c>
      <c r="I209" s="119" t="s">
        <v>239</v>
      </c>
      <c r="J209" s="119" t="s">
        <v>239</v>
      </c>
      <c r="K209" s="175" t="s">
        <v>160</v>
      </c>
      <c r="L209" s="175" t="s">
        <v>160</v>
      </c>
      <c r="M209" s="175" t="s">
        <v>155</v>
      </c>
      <c r="N209" s="175" t="s">
        <v>160</v>
      </c>
      <c r="O209" s="212" t="s">
        <v>208</v>
      </c>
    </row>
    <row r="210" spans="1:15" ht="13.7" customHeight="1" thickBot="1">
      <c r="A210" s="426"/>
      <c r="B210" s="429"/>
      <c r="C210" s="203" t="s">
        <v>472</v>
      </c>
      <c r="D210" s="213" t="s">
        <v>682</v>
      </c>
      <c r="E210" s="256" t="s">
        <v>868</v>
      </c>
      <c r="F210" s="256" t="str">
        <f>VLOOKUP(I210,参考表!F:H,3,FALSE)</f>
        <v>08001</v>
      </c>
      <c r="G210" s="119" t="s">
        <v>421</v>
      </c>
      <c r="H210" s="119" t="s">
        <v>421</v>
      </c>
      <c r="I210" s="119" t="s">
        <v>239</v>
      </c>
      <c r="J210" s="119" t="s">
        <v>239</v>
      </c>
      <c r="K210" s="175" t="s">
        <v>160</v>
      </c>
      <c r="L210" s="175" t="s">
        <v>160</v>
      </c>
      <c r="M210" s="175" t="s">
        <v>160</v>
      </c>
      <c r="N210" s="175" t="s">
        <v>155</v>
      </c>
      <c r="O210" s="139" t="s">
        <v>210</v>
      </c>
    </row>
    <row r="211" spans="1:15" ht="13.7" customHeight="1" thickBot="1">
      <c r="A211" s="426"/>
      <c r="B211" s="429"/>
      <c r="C211" s="205" t="s">
        <v>473</v>
      </c>
      <c r="D211" s="213" t="s">
        <v>683</v>
      </c>
      <c r="E211" s="256" t="s">
        <v>868</v>
      </c>
      <c r="F211" s="256" t="str">
        <f>VLOOKUP(I211,参考表!F:H,3,FALSE)</f>
        <v>08001</v>
      </c>
      <c r="G211" s="119" t="s">
        <v>421</v>
      </c>
      <c r="H211" s="119" t="s">
        <v>421</v>
      </c>
      <c r="I211" s="119" t="s">
        <v>239</v>
      </c>
      <c r="J211" s="119" t="s">
        <v>239</v>
      </c>
      <c r="K211" s="175" t="s">
        <v>160</v>
      </c>
      <c r="L211" s="175" t="s">
        <v>160</v>
      </c>
      <c r="M211" s="175" t="s">
        <v>160</v>
      </c>
      <c r="N211" s="175" t="s">
        <v>155</v>
      </c>
      <c r="O211" s="139" t="s">
        <v>210</v>
      </c>
    </row>
    <row r="212" spans="1:15" ht="13.7" customHeight="1" thickBot="1">
      <c r="A212" s="426"/>
      <c r="B212" s="429"/>
      <c r="C212" s="207" t="s">
        <v>474</v>
      </c>
      <c r="D212" s="213" t="s">
        <v>684</v>
      </c>
      <c r="E212" s="256" t="s">
        <v>868</v>
      </c>
      <c r="F212" s="256" t="str">
        <f>VLOOKUP(I212,参考表!F:H,3,FALSE)</f>
        <v>08001</v>
      </c>
      <c r="G212" s="119" t="s">
        <v>421</v>
      </c>
      <c r="H212" s="119" t="s">
        <v>421</v>
      </c>
      <c r="I212" s="119" t="s">
        <v>239</v>
      </c>
      <c r="J212" s="119" t="s">
        <v>239</v>
      </c>
      <c r="K212" s="175" t="s">
        <v>160</v>
      </c>
      <c r="L212" s="175" t="s">
        <v>160</v>
      </c>
      <c r="M212" s="175" t="s">
        <v>160</v>
      </c>
      <c r="N212" s="175" t="s">
        <v>155</v>
      </c>
      <c r="O212" s="139" t="s">
        <v>446</v>
      </c>
    </row>
    <row r="213" spans="1:15" ht="13.7" customHeight="1" thickBot="1">
      <c r="A213" s="426"/>
      <c r="B213" s="429"/>
      <c r="C213" s="203" t="s">
        <v>475</v>
      </c>
      <c r="D213" s="213" t="s">
        <v>685</v>
      </c>
      <c r="E213" s="256" t="s">
        <v>868</v>
      </c>
      <c r="F213" s="256" t="str">
        <f>VLOOKUP(I213,参考表!F:H,3,FALSE)</f>
        <v>08001</v>
      </c>
      <c r="G213" s="119" t="s">
        <v>421</v>
      </c>
      <c r="H213" s="119" t="s">
        <v>421</v>
      </c>
      <c r="I213" s="119" t="s">
        <v>239</v>
      </c>
      <c r="J213" s="119" t="s">
        <v>239</v>
      </c>
      <c r="K213" s="175" t="s">
        <v>160</v>
      </c>
      <c r="L213" s="175" t="s">
        <v>160</v>
      </c>
      <c r="M213" s="175" t="s">
        <v>160</v>
      </c>
      <c r="N213" s="175" t="s">
        <v>155</v>
      </c>
      <c r="O213" s="139" t="s">
        <v>446</v>
      </c>
    </row>
    <row r="214" spans="1:15" ht="13.7" customHeight="1" thickBot="1">
      <c r="A214" s="427"/>
      <c r="B214" s="430"/>
      <c r="C214" s="198" t="s">
        <v>476</v>
      </c>
      <c r="D214" s="214" t="s">
        <v>686</v>
      </c>
      <c r="E214" s="256" t="s">
        <v>868</v>
      </c>
      <c r="F214" s="256" t="str">
        <f>VLOOKUP(I214,参考表!F:H,3,FALSE)</f>
        <v>08001</v>
      </c>
      <c r="G214" s="119" t="s">
        <v>421</v>
      </c>
      <c r="H214" s="119" t="s">
        <v>421</v>
      </c>
      <c r="I214" s="119" t="s">
        <v>239</v>
      </c>
      <c r="J214" s="119" t="s">
        <v>239</v>
      </c>
      <c r="K214" s="181" t="s">
        <v>160</v>
      </c>
      <c r="L214" s="181" t="s">
        <v>160</v>
      </c>
      <c r="M214" s="181" t="s">
        <v>160</v>
      </c>
      <c r="N214" s="181" t="s">
        <v>155</v>
      </c>
      <c r="O214" s="170" t="s">
        <v>210</v>
      </c>
    </row>
    <row r="215" spans="1:15" ht="13.7" customHeight="1" thickBot="1">
      <c r="A215" s="425" t="s">
        <v>477</v>
      </c>
      <c r="B215" s="428" t="s">
        <v>478</v>
      </c>
      <c r="C215" s="201" t="s">
        <v>479</v>
      </c>
      <c r="D215" s="195" t="s">
        <v>687</v>
      </c>
      <c r="E215" s="256" t="s">
        <v>738</v>
      </c>
      <c r="F215" s="256" t="str">
        <f>VLOOKUP(I215,参考表!F:H,3,FALSE)</f>
        <v>03001</v>
      </c>
      <c r="G215" s="196" t="s">
        <v>480</v>
      </c>
      <c r="H215" s="196" t="s">
        <v>480</v>
      </c>
      <c r="I215" s="196" t="s">
        <v>235</v>
      </c>
      <c r="J215" s="196" t="s">
        <v>193</v>
      </c>
      <c r="K215" s="215" t="s">
        <v>155</v>
      </c>
      <c r="L215" s="215" t="s">
        <v>155</v>
      </c>
      <c r="M215" s="215" t="s">
        <v>155</v>
      </c>
      <c r="N215" s="186" t="s">
        <v>160</v>
      </c>
      <c r="O215" s="216"/>
    </row>
    <row r="216" spans="1:15" ht="13.7" customHeight="1" thickBot="1">
      <c r="A216" s="426"/>
      <c r="B216" s="429"/>
      <c r="C216" s="203" t="s">
        <v>481</v>
      </c>
      <c r="D216" s="130" t="s">
        <v>688</v>
      </c>
      <c r="E216" s="256" t="s">
        <v>738</v>
      </c>
      <c r="F216" s="256" t="str">
        <f>VLOOKUP(I216,参考表!F:H,3,FALSE)</f>
        <v>03001</v>
      </c>
      <c r="G216" s="190" t="s">
        <v>202</v>
      </c>
      <c r="H216" s="128" t="s">
        <v>202</v>
      </c>
      <c r="I216" s="190" t="s">
        <v>235</v>
      </c>
      <c r="J216" s="143" t="s">
        <v>193</v>
      </c>
      <c r="K216" s="175" t="s">
        <v>155</v>
      </c>
      <c r="L216" s="175" t="s">
        <v>155</v>
      </c>
      <c r="M216" s="175" t="s">
        <v>155</v>
      </c>
      <c r="N216" s="175" t="s">
        <v>160</v>
      </c>
      <c r="O216" s="217"/>
    </row>
    <row r="217" spans="1:15" ht="13.7" customHeight="1" thickBot="1">
      <c r="A217" s="426"/>
      <c r="B217" s="429"/>
      <c r="C217" s="204" t="s">
        <v>482</v>
      </c>
      <c r="D217" s="130" t="s">
        <v>689</v>
      </c>
      <c r="E217" s="256" t="s">
        <v>868</v>
      </c>
      <c r="F217" s="256" t="str">
        <f>VLOOKUP(I217,参考表!F:H,3,FALSE)</f>
        <v>08001</v>
      </c>
      <c r="G217" s="128" t="s">
        <v>1778</v>
      </c>
      <c r="H217" s="128" t="s">
        <v>202</v>
      </c>
      <c r="I217" s="128" t="s">
        <v>239</v>
      </c>
      <c r="J217" s="175" t="s">
        <v>178</v>
      </c>
      <c r="K217" s="175" t="s">
        <v>155</v>
      </c>
      <c r="L217" s="175" t="s">
        <v>155</v>
      </c>
      <c r="M217" s="175" t="s">
        <v>155</v>
      </c>
      <c r="N217" s="175" t="s">
        <v>155</v>
      </c>
      <c r="O217" s="217"/>
    </row>
    <row r="218" spans="1:15" ht="13.7" customHeight="1" thickBot="1">
      <c r="A218" s="426"/>
      <c r="B218" s="429"/>
      <c r="C218" s="203" t="s">
        <v>483</v>
      </c>
      <c r="D218" s="130" t="s">
        <v>690</v>
      </c>
      <c r="E218" s="256" t="s">
        <v>868</v>
      </c>
      <c r="F218" s="256" t="str">
        <f>VLOOKUP(I218,参考表!F:H,3,FALSE)</f>
        <v>08001</v>
      </c>
      <c r="G218" s="128" t="s">
        <v>1778</v>
      </c>
      <c r="H218" s="128" t="s">
        <v>202</v>
      </c>
      <c r="I218" s="128" t="s">
        <v>239</v>
      </c>
      <c r="J218" s="175" t="s">
        <v>193</v>
      </c>
      <c r="K218" s="175" t="s">
        <v>155</v>
      </c>
      <c r="L218" s="175" t="s">
        <v>155</v>
      </c>
      <c r="M218" s="175" t="s">
        <v>155</v>
      </c>
      <c r="N218" s="175" t="s">
        <v>155</v>
      </c>
      <c r="O218" s="217"/>
    </row>
    <row r="219" spans="1:15" ht="13.7" customHeight="1" thickBot="1">
      <c r="A219" s="426"/>
      <c r="B219" s="429"/>
      <c r="C219" s="203" t="s">
        <v>484</v>
      </c>
      <c r="D219" s="130" t="s">
        <v>691</v>
      </c>
      <c r="E219" s="256" t="s">
        <v>868</v>
      </c>
      <c r="F219" s="256" t="str">
        <f>VLOOKUP(I219,参考表!F:H,3,FALSE)</f>
        <v>08001</v>
      </c>
      <c r="G219" s="128" t="s">
        <v>176</v>
      </c>
      <c r="H219" s="128" t="s">
        <v>176</v>
      </c>
      <c r="I219" s="128" t="s">
        <v>239</v>
      </c>
      <c r="J219" s="175" t="s">
        <v>178</v>
      </c>
      <c r="K219" s="175" t="s">
        <v>155</v>
      </c>
      <c r="L219" s="175" t="s">
        <v>155</v>
      </c>
      <c r="M219" s="175" t="s">
        <v>155</v>
      </c>
      <c r="N219" s="175" t="s">
        <v>155</v>
      </c>
      <c r="O219" s="217"/>
    </row>
    <row r="220" spans="1:15" ht="13.7" customHeight="1" thickBot="1">
      <c r="A220" s="426"/>
      <c r="B220" s="429"/>
      <c r="C220" s="205" t="s">
        <v>485</v>
      </c>
      <c r="D220" s="130" t="s">
        <v>692</v>
      </c>
      <c r="E220" s="222" t="s">
        <v>1779</v>
      </c>
      <c r="F220" s="256" t="str">
        <f>VLOOKUP(I220,参考表!F:H,3,FALSE)</f>
        <v>08001</v>
      </c>
      <c r="G220" s="128" t="s">
        <v>486</v>
      </c>
      <c r="H220" s="128" t="s">
        <v>486</v>
      </c>
      <c r="I220" s="128" t="s">
        <v>239</v>
      </c>
      <c r="J220" s="175" t="s">
        <v>226</v>
      </c>
      <c r="K220" s="175" t="s">
        <v>155</v>
      </c>
      <c r="L220" s="175" t="s">
        <v>155</v>
      </c>
      <c r="M220" s="175" t="s">
        <v>160</v>
      </c>
      <c r="N220" s="175" t="s">
        <v>155</v>
      </c>
      <c r="O220" s="217"/>
    </row>
    <row r="221" spans="1:15" ht="13.7" customHeight="1" thickBot="1">
      <c r="A221" s="426"/>
      <c r="B221" s="429"/>
      <c r="C221" s="207" t="s">
        <v>487</v>
      </c>
      <c r="D221" s="130" t="s">
        <v>693</v>
      </c>
      <c r="E221" s="256" t="s">
        <v>868</v>
      </c>
      <c r="F221" s="256" t="str">
        <f>VLOOKUP(I221,参考表!F:H,3,FALSE)</f>
        <v>08001</v>
      </c>
      <c r="G221" s="128" t="s">
        <v>176</v>
      </c>
      <c r="H221" s="128" t="s">
        <v>486</v>
      </c>
      <c r="I221" s="128" t="s">
        <v>239</v>
      </c>
      <c r="J221" s="175" t="s">
        <v>178</v>
      </c>
      <c r="K221" s="175" t="s">
        <v>155</v>
      </c>
      <c r="L221" s="175" t="s">
        <v>155</v>
      </c>
      <c r="M221" s="175" t="s">
        <v>155</v>
      </c>
      <c r="N221" s="175" t="s">
        <v>155</v>
      </c>
      <c r="O221" s="217"/>
    </row>
    <row r="222" spans="1:15" ht="13.7" customHeight="1" thickBot="1">
      <c r="A222" s="426"/>
      <c r="B222" s="429"/>
      <c r="C222" s="203" t="s">
        <v>488</v>
      </c>
      <c r="D222" s="218" t="s">
        <v>694</v>
      </c>
      <c r="E222" s="256" t="s">
        <v>868</v>
      </c>
      <c r="F222" s="256" t="str">
        <f>VLOOKUP(I222,参考表!F:H,3,FALSE)</f>
        <v>08001</v>
      </c>
      <c r="G222" s="128" t="s">
        <v>486</v>
      </c>
      <c r="H222" s="128" t="s">
        <v>486</v>
      </c>
      <c r="I222" s="128" t="s">
        <v>239</v>
      </c>
      <c r="J222" s="175" t="s">
        <v>226</v>
      </c>
      <c r="K222" s="175" t="s">
        <v>160</v>
      </c>
      <c r="L222" s="175" t="s">
        <v>160</v>
      </c>
      <c r="M222" s="175" t="s">
        <v>160</v>
      </c>
      <c r="N222" s="175" t="s">
        <v>155</v>
      </c>
      <c r="O222" s="217"/>
    </row>
    <row r="223" spans="1:15" ht="13.7" customHeight="1" thickBot="1">
      <c r="A223" s="426"/>
      <c r="B223" s="429"/>
      <c r="C223" s="205" t="s">
        <v>489</v>
      </c>
      <c r="D223" s="218" t="s">
        <v>698</v>
      </c>
      <c r="E223" s="256" t="s">
        <v>1780</v>
      </c>
      <c r="F223" s="256" t="str">
        <f>VLOOKUP(I223,参考表!F:H,3,FALSE)</f>
        <v>08001</v>
      </c>
      <c r="G223" s="128" t="s">
        <v>1781</v>
      </c>
      <c r="H223" s="128" t="s">
        <v>486</v>
      </c>
      <c r="I223" s="128" t="s">
        <v>239</v>
      </c>
      <c r="J223" s="175" t="s">
        <v>178</v>
      </c>
      <c r="K223" s="175" t="s">
        <v>160</v>
      </c>
      <c r="L223" s="175" t="s">
        <v>160</v>
      </c>
      <c r="M223" s="175" t="s">
        <v>160</v>
      </c>
      <c r="N223" s="175" t="s">
        <v>155</v>
      </c>
      <c r="O223" s="217" t="s">
        <v>490</v>
      </c>
    </row>
    <row r="224" spans="1:15" ht="13.7" customHeight="1" thickBot="1">
      <c r="A224" s="426"/>
      <c r="B224" s="429"/>
      <c r="C224" s="207" t="s">
        <v>491</v>
      </c>
      <c r="D224" s="218" t="s">
        <v>695</v>
      </c>
      <c r="E224" s="256" t="s">
        <v>868</v>
      </c>
      <c r="F224" s="256" t="str">
        <f>VLOOKUP(I224,参考表!F:H,3,FALSE)</f>
        <v>08001</v>
      </c>
      <c r="G224" s="128" t="s">
        <v>176</v>
      </c>
      <c r="H224" s="128" t="s">
        <v>486</v>
      </c>
      <c r="I224" s="128" t="s">
        <v>239</v>
      </c>
      <c r="J224" s="175" t="s">
        <v>178</v>
      </c>
      <c r="K224" s="143" t="s">
        <v>160</v>
      </c>
      <c r="L224" s="143" t="s">
        <v>160</v>
      </c>
      <c r="M224" s="143" t="s">
        <v>160</v>
      </c>
      <c r="N224" s="175" t="s">
        <v>155</v>
      </c>
      <c r="O224" s="217"/>
    </row>
    <row r="225" spans="1:15" ht="13.7" customHeight="1" thickBot="1">
      <c r="A225" s="427"/>
      <c r="B225" s="430"/>
      <c r="C225" s="191" t="s">
        <v>492</v>
      </c>
      <c r="D225" s="219" t="s">
        <v>696</v>
      </c>
      <c r="E225" s="256" t="s">
        <v>868</v>
      </c>
      <c r="F225" s="256" t="str">
        <f>VLOOKUP(I225,参考表!F:H,3,FALSE)</f>
        <v>08001</v>
      </c>
      <c r="G225" s="133" t="s">
        <v>486</v>
      </c>
      <c r="H225" s="133" t="s">
        <v>486</v>
      </c>
      <c r="I225" s="133" t="s">
        <v>239</v>
      </c>
      <c r="J225" s="133" t="s">
        <v>178</v>
      </c>
      <c r="K225" s="181" t="s">
        <v>155</v>
      </c>
      <c r="L225" s="181" t="s">
        <v>155</v>
      </c>
      <c r="M225" s="181" t="s">
        <v>155</v>
      </c>
      <c r="N225" s="181" t="s">
        <v>155</v>
      </c>
      <c r="O225" s="220"/>
    </row>
    <row r="226" spans="1:15" ht="13.7" customHeight="1" thickBot="1">
      <c r="D226" s="321" t="s">
        <v>2639</v>
      </c>
      <c r="E226" s="256">
        <v>11001</v>
      </c>
      <c r="F226" s="256"/>
      <c r="G226" s="133" t="s">
        <v>2640</v>
      </c>
      <c r="I226" s="322" t="s">
        <v>2641</v>
      </c>
      <c r="J226" s="322" t="s">
        <v>2641</v>
      </c>
    </row>
  </sheetData>
  <mergeCells count="36">
    <mergeCell ref="A162:A214"/>
    <mergeCell ref="B162:B214"/>
    <mergeCell ref="A215:A225"/>
    <mergeCell ref="B215:B225"/>
    <mergeCell ref="A142:A151"/>
    <mergeCell ref="B142:B151"/>
    <mergeCell ref="O142:O150"/>
    <mergeCell ref="A152:A161"/>
    <mergeCell ref="B152:B161"/>
    <mergeCell ref="A110:A116"/>
    <mergeCell ref="B110:B116"/>
    <mergeCell ref="A117:A141"/>
    <mergeCell ref="B117:B141"/>
    <mergeCell ref="C131:C140"/>
    <mergeCell ref="O131:O140"/>
    <mergeCell ref="A93:A100"/>
    <mergeCell ref="B93:B100"/>
    <mergeCell ref="A101:A109"/>
    <mergeCell ref="B101:B109"/>
    <mergeCell ref="C142:C150"/>
    <mergeCell ref="A21:A60"/>
    <mergeCell ref="B21:B60"/>
    <mergeCell ref="A61:A72"/>
    <mergeCell ref="B61:B72"/>
    <mergeCell ref="A73:A92"/>
    <mergeCell ref="B73:B92"/>
    <mergeCell ref="I1:J1"/>
    <mergeCell ref="K1:N1"/>
    <mergeCell ref="O1:O2"/>
    <mergeCell ref="A3:A20"/>
    <mergeCell ref="B3:B20"/>
    <mergeCell ref="A1:A2"/>
    <mergeCell ref="B1:B2"/>
    <mergeCell ref="C1:C2"/>
    <mergeCell ref="D1:D2"/>
    <mergeCell ref="G1:H1"/>
  </mergeCells>
  <phoneticPr fontId="13"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9"/>
  <sheetViews>
    <sheetView topLeftCell="A2" workbookViewId="0">
      <selection activeCell="H21" sqref="H21"/>
    </sheetView>
  </sheetViews>
  <sheetFormatPr defaultRowHeight="12.25"/>
  <cols>
    <col min="1" max="1" width="5" customWidth="1"/>
    <col min="2" max="2" width="23.7109375" customWidth="1"/>
    <col min="3" max="3" width="9.7109375" bestFit="1" customWidth="1"/>
  </cols>
  <sheetData>
    <row r="1" spans="1:3" ht="67" hidden="1" customHeight="1">
      <c r="A1" s="438" t="s">
        <v>1667</v>
      </c>
      <c r="B1" s="438"/>
      <c r="C1" s="438"/>
    </row>
    <row r="2" spans="1:3">
      <c r="A2" t="s">
        <v>1664</v>
      </c>
      <c r="B2" t="s">
        <v>1665</v>
      </c>
      <c r="C2" t="s">
        <v>1666</v>
      </c>
    </row>
    <row r="3" spans="1:3">
      <c r="A3">
        <v>1</v>
      </c>
      <c r="B3" t="s">
        <v>1740</v>
      </c>
      <c r="C3" t="s">
        <v>1741</v>
      </c>
    </row>
    <row r="4" spans="1:3">
      <c r="A4">
        <v>2</v>
      </c>
      <c r="B4" t="s">
        <v>1742</v>
      </c>
      <c r="C4" t="s">
        <v>1743</v>
      </c>
    </row>
    <row r="5" spans="1:3">
      <c r="A5">
        <v>3</v>
      </c>
      <c r="B5" t="s">
        <v>1744</v>
      </c>
      <c r="C5" t="s">
        <v>1745</v>
      </c>
    </row>
    <row r="6" spans="1:3">
      <c r="A6">
        <v>4</v>
      </c>
      <c r="B6" t="s">
        <v>1746</v>
      </c>
      <c r="C6" t="s">
        <v>1747</v>
      </c>
    </row>
    <row r="7" spans="1:3">
      <c r="A7">
        <v>5</v>
      </c>
      <c r="B7" t="s">
        <v>1749</v>
      </c>
    </row>
    <row r="8" spans="1:3">
      <c r="A8">
        <v>6</v>
      </c>
      <c r="B8" t="s">
        <v>1759</v>
      </c>
      <c r="C8" t="s">
        <v>1760</v>
      </c>
    </row>
    <row r="9" spans="1:3">
      <c r="B9" t="s">
        <v>1768</v>
      </c>
      <c r="C9" t="s">
        <v>1769</v>
      </c>
    </row>
  </sheetData>
  <mergeCells count="1">
    <mergeCell ref="A1:C1"/>
  </mergeCells>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
  <sheetViews>
    <sheetView workbookViewId="0">
      <selection activeCell="E5" sqref="E5"/>
    </sheetView>
  </sheetViews>
  <sheetFormatPr defaultRowHeight="12.25"/>
  <cols>
    <col min="1" max="1" width="3.42578125" customWidth="1"/>
    <col min="2" max="2" width="32.42578125" customWidth="1"/>
    <col min="3" max="3" width="9.7109375" customWidth="1"/>
    <col min="4" max="4" width="16.42578125" customWidth="1"/>
  </cols>
  <sheetData>
    <row r="1" spans="1:5">
      <c r="A1" t="s">
        <v>1670</v>
      </c>
      <c r="B1" t="s">
        <v>1671</v>
      </c>
      <c r="C1" t="s">
        <v>1672</v>
      </c>
      <c r="D1" t="s">
        <v>1673</v>
      </c>
      <c r="E1" t="s">
        <v>1674</v>
      </c>
    </row>
    <row r="2" spans="1:5">
      <c r="A2">
        <v>1</v>
      </c>
    </row>
  </sheetData>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物料汇总表</vt:lpstr>
      <vt:lpstr>物料申请表</vt:lpstr>
      <vt:lpstr>物料导入表</vt:lpstr>
      <vt:lpstr>参考表</vt:lpstr>
      <vt:lpstr>发运层物料名称参考表</vt:lpstr>
      <vt:lpstr>更新记录</vt:lpstr>
      <vt:lpstr>问题搜集</vt:lpstr>
      <vt:lpstr>物料汇总表!Print_Area</vt:lpstr>
    </vt:vector>
  </TitlesOfParts>
  <Company>TKECM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TKECM</dc:creator>
  <cp:lastModifiedBy>Nesta Hu</cp:lastModifiedBy>
  <cp:lastPrinted>2016-03-28T11:56:34Z</cp:lastPrinted>
  <dcterms:created xsi:type="dcterms:W3CDTF">2011-08-30T05:58:08Z</dcterms:created>
  <dcterms:modified xsi:type="dcterms:W3CDTF">2016-03-28T11:56:47Z</dcterms:modified>
</cp:coreProperties>
</file>